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cuments\Ashleys Documents\1. CURRENT PROJECTS\POLLINATOR\Summer 2021\Trials\final data\"/>
    </mc:Choice>
  </mc:AlternateContent>
  <xr:revisionPtr revIDLastSave="0" documentId="8_{4D7F203D-FE25-49D1-B13C-F96632EDDCC0}" xr6:coauthVersionLast="47" xr6:coauthVersionMax="47" xr10:uidLastSave="{00000000-0000-0000-0000-000000000000}"/>
  <bookViews>
    <workbookView xWindow="-28920" yWindow="-120" windowWidth="29040" windowHeight="17640" activeTab="4" xr2:uid="{6E27131F-2903-4C04-966E-9E1E18BB90EC}"/>
  </bookViews>
  <sheets>
    <sheet name="Key to terms" sheetId="3" r:id="rId1"/>
    <sheet name="2021 fruit weight" sheetId="1" r:id="rId2"/>
    <sheet name="2021 fruit set" sheetId="2" r:id="rId3"/>
    <sheet name="2020 fruit set" sheetId="4" r:id="rId4"/>
    <sheet name="2020 fruit weight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3" i="1" l="1"/>
  <c r="D2" i="1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2" i="2"/>
  <c r="F120" i="2"/>
  <c r="F119" i="2"/>
  <c r="F118" i="2"/>
  <c r="F117" i="2"/>
  <c r="F116" i="2"/>
  <c r="F115" i="2"/>
  <c r="F114" i="2"/>
  <c r="F113" i="2"/>
  <c r="F112" i="2"/>
  <c r="F111" i="2"/>
  <c r="F110" i="2"/>
  <c r="F109" i="2"/>
  <c r="F108" i="2"/>
  <c r="F107" i="2"/>
  <c r="F106" i="2"/>
  <c r="F105" i="2"/>
  <c r="F104" i="2"/>
  <c r="F103" i="2"/>
  <c r="F102" i="2"/>
  <c r="F101" i="2"/>
  <c r="F100" i="2"/>
  <c r="F99" i="2"/>
  <c r="F98" i="2"/>
  <c r="F97" i="2"/>
  <c r="F96" i="2"/>
  <c r="F95" i="2"/>
  <c r="F94" i="2"/>
  <c r="F93" i="2"/>
  <c r="F92" i="2"/>
  <c r="F91" i="2"/>
  <c r="F90" i="2"/>
  <c r="F89" i="2"/>
  <c r="F88" i="2"/>
  <c r="F87" i="2"/>
  <c r="F86" i="2"/>
  <c r="F85" i="2"/>
  <c r="F84" i="2"/>
  <c r="F83" i="2"/>
  <c r="F82" i="2"/>
  <c r="F81" i="2"/>
  <c r="F80" i="2"/>
  <c r="F79" i="2"/>
  <c r="F78" i="2"/>
  <c r="F77" i="2"/>
  <c r="F76" i="2"/>
  <c r="F75" i="2"/>
  <c r="F74" i="2"/>
  <c r="F73" i="2"/>
  <c r="F72" i="2"/>
  <c r="F71" i="2"/>
  <c r="F70" i="2"/>
  <c r="F69" i="2"/>
  <c r="F68" i="2"/>
  <c r="F67" i="2"/>
  <c r="F66" i="2"/>
  <c r="F65" i="2"/>
  <c r="F64" i="2"/>
  <c r="F63" i="2"/>
  <c r="F62" i="2"/>
  <c r="F61" i="2"/>
  <c r="F60" i="2"/>
  <c r="F59" i="2"/>
  <c r="F58" i="2"/>
  <c r="F57" i="2"/>
  <c r="F56" i="2"/>
  <c r="F55" i="2"/>
  <c r="F54" i="2"/>
  <c r="F53" i="2"/>
  <c r="F52" i="2"/>
  <c r="F51" i="2"/>
  <c r="F50" i="2"/>
  <c r="F49" i="2"/>
  <c r="F48" i="2"/>
  <c r="F47" i="2"/>
  <c r="F46" i="2"/>
  <c r="F45" i="2"/>
  <c r="F44" i="2"/>
  <c r="F43" i="2"/>
  <c r="F42" i="2"/>
  <c r="F41" i="2"/>
  <c r="F40" i="2"/>
  <c r="F39" i="2"/>
  <c r="F38" i="2"/>
  <c r="F37" i="2"/>
  <c r="F36" i="2"/>
  <c r="F35" i="2"/>
  <c r="F34" i="2"/>
  <c r="F33" i="2"/>
  <c r="F32" i="2"/>
  <c r="F31" i="2"/>
  <c r="F30" i="2"/>
  <c r="F29" i="2"/>
  <c r="F28" i="2"/>
  <c r="F27" i="2"/>
  <c r="F26" i="2"/>
  <c r="F25" i="2"/>
  <c r="F24" i="2"/>
  <c r="F23" i="2"/>
  <c r="F22" i="2"/>
  <c r="F21" i="2"/>
  <c r="F20" i="2"/>
  <c r="F19" i="2"/>
  <c r="F18" i="2"/>
  <c r="F17" i="2"/>
  <c r="F16" i="2"/>
  <c r="F15" i="2"/>
  <c r="F14" i="2"/>
  <c r="F13" i="2"/>
  <c r="F12" i="2"/>
  <c r="F11" i="2"/>
  <c r="F10" i="2"/>
  <c r="F9" i="2"/>
  <c r="F8" i="2"/>
  <c r="F7" i="2"/>
  <c r="F6" i="2"/>
  <c r="F5" i="2"/>
  <c r="F4" i="2"/>
  <c r="F3" i="2"/>
  <c r="F2" i="2"/>
</calcChain>
</file>

<file path=xl/sharedStrings.xml><?xml version="1.0" encoding="utf-8"?>
<sst xmlns="http://schemas.openxmlformats.org/spreadsheetml/2006/main" count="389" uniqueCount="31">
  <si>
    <t>rep</t>
  </si>
  <si>
    <t>beetle</t>
  </si>
  <si>
    <t>poll</t>
  </si>
  <si>
    <t>set</t>
  </si>
  <si>
    <t>fail</t>
  </si>
  <si>
    <t>2HB</t>
  </si>
  <si>
    <t>2W</t>
  </si>
  <si>
    <t>4HB</t>
  </si>
  <si>
    <t>4W</t>
  </si>
  <si>
    <t>hand</t>
  </si>
  <si>
    <t>open</t>
  </si>
  <si>
    <t>beet</t>
  </si>
  <si>
    <t>totalwe</t>
  </si>
  <si>
    <t>avgwei</t>
  </si>
  <si>
    <t>hol</t>
  </si>
  <si>
    <t>total</t>
  </si>
  <si>
    <t>percent</t>
  </si>
  <si>
    <t>Key to terms used in datasets</t>
  </si>
  <si>
    <t>refers to beetle infestation in which numerically higher numbers refer to higher beetle infestations. For example, 1= 0 beetles/plant, 2= 3 beetles/plant, 3= 6 beetles/plant, and 4= 9 beetles/plant</t>
  </si>
  <si>
    <t>refers to pollination treatments, 2HB= 2 honeybee visits, 4HB= 4 honeybee visits, 2W= 2 wild bee visits, 4W= 4 wild bee visits, open= open pollinated, and hand= hand pollinated. Descriptions for each of these treatments is found within the text</t>
  </si>
  <si>
    <t>refers to blocking factor</t>
  </si>
  <si>
    <t>refers to the amount of flowers that produced a melon 10 days after visitation treatment was observed</t>
  </si>
  <si>
    <t xml:space="preserve">total </t>
  </si>
  <si>
    <t>refers to the total number of female flowers obersved within a row for a particular pollination treatment</t>
  </si>
  <si>
    <t xml:space="preserve">fail </t>
  </si>
  <si>
    <t xml:space="preserve">refers to the amount of flowers that DID NOT produce a melon 10 days after visitation and were not viable. </t>
  </si>
  <si>
    <t>2 HB</t>
  </si>
  <si>
    <t>2 W</t>
  </si>
  <si>
    <t>8 HB</t>
  </si>
  <si>
    <t>Hand</t>
  </si>
  <si>
    <t>Open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</si>
</sst>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6E8037-D692-45C3-BA08-B42C0F2F15DE}">
  <dimension ref="A1:B8"/>
  <sheetViews>
    <sheetView workbookViewId="0">
      <selection activeCell="J18" sqref="J18"/>
    </sheetView>
  </sheetViews>
  <sheetFormatPr defaultRowHeight="15" x14ac:dyDescent="0.25"/>
  <sheetData>
    <row r="1" spans="1:2" x14ac:dyDescent="0.25">
      <c r="A1" t="s">
        <v>17</v>
      </c>
    </row>
    <row r="3" spans="1:2" x14ac:dyDescent="0.25">
      <c r="A3" t="s">
        <v>11</v>
      </c>
      <c r="B3" t="s">
        <v>18</v>
      </c>
    </row>
    <row r="4" spans="1:2" x14ac:dyDescent="0.25">
      <c r="A4" t="s">
        <v>2</v>
      </c>
      <c r="B4" t="s">
        <v>19</v>
      </c>
    </row>
    <row r="5" spans="1:2" x14ac:dyDescent="0.25">
      <c r="A5" t="s">
        <v>0</v>
      </c>
      <c r="B5" t="s">
        <v>20</v>
      </c>
    </row>
    <row r="6" spans="1:2" x14ac:dyDescent="0.25">
      <c r="A6" t="s">
        <v>3</v>
      </c>
      <c r="B6" t="s">
        <v>21</v>
      </c>
    </row>
    <row r="7" spans="1:2" x14ac:dyDescent="0.25">
      <c r="A7" t="s">
        <v>22</v>
      </c>
      <c r="B7" t="s">
        <v>23</v>
      </c>
    </row>
    <row r="8" spans="1:2" x14ac:dyDescent="0.25">
      <c r="A8" t="s">
        <v>24</v>
      </c>
      <c r="B8" t="s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FC79B6-F6D1-4CEF-A10E-CD8F43171464}">
  <dimension ref="A1:J114"/>
  <sheetViews>
    <sheetView workbookViewId="0">
      <selection activeCell="D1" sqref="D1"/>
    </sheetView>
  </sheetViews>
  <sheetFormatPr defaultRowHeight="15" x14ac:dyDescent="0.25"/>
  <sheetData>
    <row r="1" spans="1:10" x14ac:dyDescent="0.25">
      <c r="A1" t="s">
        <v>11</v>
      </c>
      <c r="B1" t="s">
        <v>2</v>
      </c>
      <c r="C1" t="s">
        <v>0</v>
      </c>
      <c r="D1" t="s">
        <v>12</v>
      </c>
      <c r="E1" t="s">
        <v>13</v>
      </c>
      <c r="F1" t="s">
        <v>14</v>
      </c>
    </row>
    <row r="2" spans="1:10" x14ac:dyDescent="0.25">
      <c r="A2">
        <v>1</v>
      </c>
      <c r="B2" t="s">
        <v>5</v>
      </c>
      <c r="C2">
        <v>1</v>
      </c>
      <c r="D2">
        <f>3*E2</f>
        <v>6.7200000000000006</v>
      </c>
      <c r="E2">
        <v>2.2400000000000002</v>
      </c>
      <c r="F2">
        <v>2</v>
      </c>
    </row>
    <row r="3" spans="1:10" x14ac:dyDescent="0.25">
      <c r="A3">
        <v>1</v>
      </c>
      <c r="B3" t="s">
        <v>5</v>
      </c>
      <c r="C3">
        <v>2</v>
      </c>
      <c r="D3">
        <f>2*E3</f>
        <v>4.9359999999999999</v>
      </c>
      <c r="E3">
        <v>2.468</v>
      </c>
      <c r="F3">
        <v>2</v>
      </c>
    </row>
    <row r="4" spans="1:10" x14ac:dyDescent="0.25">
      <c r="A4">
        <v>1</v>
      </c>
      <c r="B4" t="s">
        <v>5</v>
      </c>
      <c r="C4">
        <v>3</v>
      </c>
      <c r="D4">
        <v>5.46</v>
      </c>
      <c r="E4">
        <v>2.73</v>
      </c>
      <c r="F4">
        <v>0</v>
      </c>
    </row>
    <row r="5" spans="1:10" x14ac:dyDescent="0.25">
      <c r="A5">
        <v>1</v>
      </c>
      <c r="B5" t="s">
        <v>5</v>
      </c>
      <c r="C5">
        <v>4</v>
      </c>
      <c r="D5">
        <v>3.9</v>
      </c>
      <c r="E5">
        <v>1.95</v>
      </c>
      <c r="F5">
        <v>0</v>
      </c>
    </row>
    <row r="6" spans="1:10" x14ac:dyDescent="0.25">
      <c r="A6">
        <v>1</v>
      </c>
      <c r="B6" t="s">
        <v>5</v>
      </c>
      <c r="C6">
        <v>5</v>
      </c>
      <c r="D6">
        <v>3.42</v>
      </c>
      <c r="E6">
        <v>3.42</v>
      </c>
      <c r="F6">
        <v>1</v>
      </c>
    </row>
    <row r="7" spans="1:10" x14ac:dyDescent="0.25">
      <c r="A7">
        <v>1</v>
      </c>
      <c r="B7" t="s">
        <v>6</v>
      </c>
      <c r="C7">
        <v>1</v>
      </c>
      <c r="D7">
        <v>16.18</v>
      </c>
      <c r="E7">
        <v>5.3933333330000002</v>
      </c>
      <c r="F7">
        <v>0</v>
      </c>
    </row>
    <row r="8" spans="1:10" x14ac:dyDescent="0.25">
      <c r="A8">
        <v>1</v>
      </c>
      <c r="B8" t="s">
        <v>6</v>
      </c>
      <c r="C8">
        <v>2</v>
      </c>
      <c r="D8">
        <v>14.5</v>
      </c>
      <c r="E8">
        <v>7.25</v>
      </c>
      <c r="F8">
        <v>0</v>
      </c>
      <c r="J8" s="1"/>
    </row>
    <row r="9" spans="1:10" x14ac:dyDescent="0.25">
      <c r="A9">
        <v>1</v>
      </c>
      <c r="B9" t="s">
        <v>6</v>
      </c>
      <c r="C9">
        <v>3</v>
      </c>
      <c r="D9">
        <v>40.76</v>
      </c>
      <c r="E9">
        <v>8.1519999999999992</v>
      </c>
      <c r="F9">
        <v>1</v>
      </c>
    </row>
    <row r="10" spans="1:10" x14ac:dyDescent="0.25">
      <c r="A10">
        <v>1</v>
      </c>
      <c r="B10" t="s">
        <v>6</v>
      </c>
      <c r="C10">
        <v>4</v>
      </c>
      <c r="D10">
        <v>13.59</v>
      </c>
      <c r="E10">
        <v>6.7949999999999999</v>
      </c>
      <c r="F10">
        <v>0</v>
      </c>
    </row>
    <row r="11" spans="1:10" x14ac:dyDescent="0.25">
      <c r="A11">
        <v>1</v>
      </c>
      <c r="B11" t="s">
        <v>6</v>
      </c>
      <c r="C11">
        <v>5</v>
      </c>
      <c r="D11">
        <v>8.43</v>
      </c>
      <c r="E11">
        <v>4.2149999999999999</v>
      </c>
      <c r="F11">
        <v>0</v>
      </c>
    </row>
    <row r="12" spans="1:10" x14ac:dyDescent="0.25">
      <c r="A12">
        <v>1</v>
      </c>
      <c r="B12" t="s">
        <v>7</v>
      </c>
      <c r="C12">
        <v>2</v>
      </c>
      <c r="D12">
        <v>7.84</v>
      </c>
      <c r="E12">
        <v>3.92</v>
      </c>
      <c r="F12">
        <v>0</v>
      </c>
    </row>
    <row r="13" spans="1:10" x14ac:dyDescent="0.25">
      <c r="A13">
        <v>1</v>
      </c>
      <c r="B13" t="s">
        <v>7</v>
      </c>
      <c r="C13">
        <v>3</v>
      </c>
      <c r="D13">
        <v>17.96</v>
      </c>
      <c r="E13">
        <v>3.5920000000000001</v>
      </c>
      <c r="F13">
        <v>2</v>
      </c>
    </row>
    <row r="14" spans="1:10" x14ac:dyDescent="0.25">
      <c r="A14">
        <v>1</v>
      </c>
      <c r="B14" t="s">
        <v>7</v>
      </c>
      <c r="C14">
        <v>4</v>
      </c>
      <c r="D14">
        <v>8.08</v>
      </c>
      <c r="E14">
        <v>4.04</v>
      </c>
      <c r="F14">
        <v>0</v>
      </c>
    </row>
    <row r="15" spans="1:10" x14ac:dyDescent="0.25">
      <c r="A15">
        <v>1</v>
      </c>
      <c r="B15" t="s">
        <v>7</v>
      </c>
      <c r="C15">
        <v>5</v>
      </c>
      <c r="D15">
        <v>3.12</v>
      </c>
      <c r="E15">
        <v>3.12</v>
      </c>
      <c r="F15">
        <v>0</v>
      </c>
    </row>
    <row r="16" spans="1:10" x14ac:dyDescent="0.25">
      <c r="A16">
        <v>1</v>
      </c>
      <c r="B16" t="s">
        <v>8</v>
      </c>
      <c r="C16">
        <v>1</v>
      </c>
      <c r="D16">
        <v>14.69</v>
      </c>
      <c r="E16">
        <v>7.3449999999999998</v>
      </c>
      <c r="F16">
        <v>0</v>
      </c>
    </row>
    <row r="17" spans="1:6" x14ac:dyDescent="0.25">
      <c r="A17">
        <v>1</v>
      </c>
      <c r="B17" t="s">
        <v>8</v>
      </c>
      <c r="C17">
        <v>2</v>
      </c>
      <c r="D17">
        <v>32.36</v>
      </c>
      <c r="E17">
        <v>16.18</v>
      </c>
      <c r="F17">
        <v>0</v>
      </c>
    </row>
    <row r="18" spans="1:6" x14ac:dyDescent="0.25">
      <c r="A18">
        <v>1</v>
      </c>
      <c r="B18" t="s">
        <v>8</v>
      </c>
      <c r="C18">
        <v>3</v>
      </c>
      <c r="D18">
        <v>9.01</v>
      </c>
      <c r="E18">
        <v>4.5049999999999999</v>
      </c>
      <c r="F18">
        <v>0</v>
      </c>
    </row>
    <row r="19" spans="1:6" x14ac:dyDescent="0.25">
      <c r="A19">
        <v>1</v>
      </c>
      <c r="B19" t="s">
        <v>8</v>
      </c>
      <c r="C19">
        <v>4</v>
      </c>
      <c r="D19">
        <v>32.03</v>
      </c>
      <c r="E19">
        <v>10.676666669999999</v>
      </c>
      <c r="F19">
        <v>0</v>
      </c>
    </row>
    <row r="20" spans="1:6" x14ac:dyDescent="0.25">
      <c r="A20">
        <v>1</v>
      </c>
      <c r="B20" t="s">
        <v>8</v>
      </c>
      <c r="C20">
        <v>5</v>
      </c>
      <c r="D20">
        <v>12.25</v>
      </c>
      <c r="E20">
        <v>6.125</v>
      </c>
      <c r="F20">
        <v>0</v>
      </c>
    </row>
    <row r="21" spans="1:6" x14ac:dyDescent="0.25">
      <c r="A21">
        <v>1</v>
      </c>
      <c r="B21" t="s">
        <v>9</v>
      </c>
      <c r="C21">
        <v>1</v>
      </c>
      <c r="D21">
        <v>12.61</v>
      </c>
      <c r="E21">
        <v>6.3049999999999997</v>
      </c>
      <c r="F21">
        <v>1</v>
      </c>
    </row>
    <row r="22" spans="1:6" x14ac:dyDescent="0.25">
      <c r="A22">
        <v>1</v>
      </c>
      <c r="B22" t="s">
        <v>9</v>
      </c>
      <c r="C22">
        <v>2</v>
      </c>
      <c r="D22">
        <v>13.96</v>
      </c>
      <c r="E22">
        <v>6.98</v>
      </c>
      <c r="F22">
        <v>0</v>
      </c>
    </row>
    <row r="23" spans="1:6" x14ac:dyDescent="0.25">
      <c r="A23">
        <v>1</v>
      </c>
      <c r="B23" t="s">
        <v>9</v>
      </c>
      <c r="C23">
        <v>3</v>
      </c>
      <c r="D23">
        <v>29.34</v>
      </c>
      <c r="E23">
        <v>7.335</v>
      </c>
      <c r="F23">
        <v>0</v>
      </c>
    </row>
    <row r="24" spans="1:6" x14ac:dyDescent="0.25">
      <c r="A24">
        <v>1</v>
      </c>
      <c r="B24" t="s">
        <v>9</v>
      </c>
      <c r="C24">
        <v>4</v>
      </c>
      <c r="D24">
        <v>49.15</v>
      </c>
      <c r="E24">
        <v>9.83</v>
      </c>
      <c r="F24">
        <v>0</v>
      </c>
    </row>
    <row r="25" spans="1:6" x14ac:dyDescent="0.25">
      <c r="A25">
        <v>1</v>
      </c>
      <c r="B25" t="s">
        <v>9</v>
      </c>
      <c r="C25">
        <v>5</v>
      </c>
      <c r="D25">
        <v>15.06</v>
      </c>
      <c r="E25">
        <v>5.0199999999999996</v>
      </c>
      <c r="F25">
        <v>0</v>
      </c>
    </row>
    <row r="26" spans="1:6" x14ac:dyDescent="0.25">
      <c r="A26">
        <v>1</v>
      </c>
      <c r="B26" t="s">
        <v>10</v>
      </c>
      <c r="C26">
        <v>1</v>
      </c>
      <c r="D26">
        <v>8.69</v>
      </c>
      <c r="E26">
        <v>8.0775000000000006</v>
      </c>
      <c r="F26">
        <v>1</v>
      </c>
    </row>
    <row r="27" spans="1:6" x14ac:dyDescent="0.25">
      <c r="A27">
        <v>1</v>
      </c>
      <c r="B27" t="s">
        <v>10</v>
      </c>
      <c r="C27">
        <v>2</v>
      </c>
      <c r="D27">
        <v>26</v>
      </c>
      <c r="E27">
        <v>6.7066666670000004</v>
      </c>
      <c r="F27">
        <v>1</v>
      </c>
    </row>
    <row r="28" spans="1:6" x14ac:dyDescent="0.25">
      <c r="A28">
        <v>1</v>
      </c>
      <c r="B28" t="s">
        <v>10</v>
      </c>
      <c r="C28">
        <v>3</v>
      </c>
      <c r="D28">
        <v>44.95</v>
      </c>
      <c r="E28">
        <v>9.2152941179999992</v>
      </c>
      <c r="F28">
        <v>0</v>
      </c>
    </row>
    <row r="29" spans="1:6" x14ac:dyDescent="0.25">
      <c r="A29">
        <v>1</v>
      </c>
      <c r="B29" t="s">
        <v>10</v>
      </c>
      <c r="C29">
        <v>4</v>
      </c>
      <c r="D29">
        <v>23</v>
      </c>
      <c r="E29">
        <v>7.7594444439999997</v>
      </c>
      <c r="F29">
        <v>2</v>
      </c>
    </row>
    <row r="30" spans="1:6" x14ac:dyDescent="0.25">
      <c r="A30">
        <v>1</v>
      </c>
      <c r="B30" t="s">
        <v>10</v>
      </c>
      <c r="C30">
        <v>5</v>
      </c>
      <c r="D30">
        <v>25.770000000000003</v>
      </c>
      <c r="E30">
        <v>6.3550000000000004</v>
      </c>
      <c r="F30">
        <v>0</v>
      </c>
    </row>
    <row r="31" spans="1:6" x14ac:dyDescent="0.25">
      <c r="A31">
        <v>2</v>
      </c>
      <c r="B31" t="s">
        <v>5</v>
      </c>
      <c r="C31">
        <v>1</v>
      </c>
      <c r="D31">
        <v>0.41</v>
      </c>
      <c r="E31">
        <v>0.41</v>
      </c>
      <c r="F31">
        <v>1</v>
      </c>
    </row>
    <row r="32" spans="1:6" x14ac:dyDescent="0.25">
      <c r="A32">
        <v>2</v>
      </c>
      <c r="B32" t="s">
        <v>5</v>
      </c>
      <c r="C32">
        <v>2</v>
      </c>
      <c r="D32">
        <v>4.41</v>
      </c>
      <c r="E32">
        <v>2.2050000000000001</v>
      </c>
      <c r="F32">
        <v>1</v>
      </c>
    </row>
    <row r="33" spans="1:6" x14ac:dyDescent="0.25">
      <c r="A33">
        <v>2</v>
      </c>
      <c r="B33" t="s">
        <v>5</v>
      </c>
      <c r="C33">
        <v>3</v>
      </c>
      <c r="D33">
        <v>10.06</v>
      </c>
      <c r="E33">
        <v>2.5150000000000001</v>
      </c>
      <c r="F33">
        <v>1</v>
      </c>
    </row>
    <row r="34" spans="1:6" x14ac:dyDescent="0.25">
      <c r="A34">
        <v>2</v>
      </c>
      <c r="B34" t="s">
        <v>5</v>
      </c>
      <c r="C34">
        <v>5</v>
      </c>
      <c r="D34">
        <v>3.57</v>
      </c>
      <c r="E34">
        <v>3.57</v>
      </c>
      <c r="F34">
        <v>0</v>
      </c>
    </row>
    <row r="35" spans="1:6" x14ac:dyDescent="0.25">
      <c r="A35">
        <v>2</v>
      </c>
      <c r="B35" t="s">
        <v>6</v>
      </c>
      <c r="C35">
        <v>1</v>
      </c>
      <c r="D35">
        <v>16.2</v>
      </c>
      <c r="E35">
        <v>16.2</v>
      </c>
      <c r="F35">
        <v>0</v>
      </c>
    </row>
    <row r="36" spans="1:6" x14ac:dyDescent="0.25">
      <c r="A36">
        <v>2</v>
      </c>
      <c r="B36" t="s">
        <v>6</v>
      </c>
      <c r="C36">
        <v>2</v>
      </c>
      <c r="D36">
        <v>14.22</v>
      </c>
      <c r="E36">
        <v>7.11</v>
      </c>
      <c r="F36">
        <v>0</v>
      </c>
    </row>
    <row r="37" spans="1:6" x14ac:dyDescent="0.25">
      <c r="A37">
        <v>2</v>
      </c>
      <c r="B37" t="s">
        <v>6</v>
      </c>
      <c r="C37">
        <v>3</v>
      </c>
      <c r="D37">
        <v>15.64</v>
      </c>
      <c r="E37">
        <v>15.64</v>
      </c>
      <c r="F37">
        <v>0</v>
      </c>
    </row>
    <row r="38" spans="1:6" x14ac:dyDescent="0.25">
      <c r="A38">
        <v>2</v>
      </c>
      <c r="B38" t="s">
        <v>6</v>
      </c>
      <c r="C38">
        <v>4</v>
      </c>
      <c r="D38">
        <v>16.89</v>
      </c>
      <c r="E38">
        <v>8.4450000000000003</v>
      </c>
      <c r="F38">
        <v>0</v>
      </c>
    </row>
    <row r="39" spans="1:6" x14ac:dyDescent="0.25">
      <c r="A39">
        <v>2</v>
      </c>
      <c r="B39" t="s">
        <v>6</v>
      </c>
      <c r="C39">
        <v>5</v>
      </c>
      <c r="D39">
        <v>20.94</v>
      </c>
      <c r="E39">
        <v>10.47</v>
      </c>
      <c r="F39">
        <v>0</v>
      </c>
    </row>
    <row r="40" spans="1:6" x14ac:dyDescent="0.25">
      <c r="A40">
        <v>2</v>
      </c>
      <c r="B40" t="s">
        <v>7</v>
      </c>
      <c r="C40">
        <v>1</v>
      </c>
      <c r="D40">
        <v>9.25</v>
      </c>
      <c r="E40">
        <v>9.25</v>
      </c>
      <c r="F40">
        <v>0</v>
      </c>
    </row>
    <row r="41" spans="1:6" x14ac:dyDescent="0.25">
      <c r="A41">
        <v>2</v>
      </c>
      <c r="B41" t="s">
        <v>7</v>
      </c>
      <c r="C41">
        <v>2</v>
      </c>
      <c r="D41">
        <v>28.82</v>
      </c>
      <c r="E41">
        <v>9.6066666670000007</v>
      </c>
      <c r="F41">
        <v>0</v>
      </c>
    </row>
    <row r="42" spans="1:6" x14ac:dyDescent="0.25">
      <c r="A42">
        <v>2</v>
      </c>
      <c r="B42" t="s">
        <v>7</v>
      </c>
      <c r="C42">
        <v>3</v>
      </c>
      <c r="D42">
        <v>21.02</v>
      </c>
      <c r="E42">
        <v>10.51</v>
      </c>
      <c r="F42">
        <v>0</v>
      </c>
    </row>
    <row r="43" spans="1:6" x14ac:dyDescent="0.25">
      <c r="A43">
        <v>2</v>
      </c>
      <c r="B43" t="s">
        <v>7</v>
      </c>
      <c r="C43">
        <v>4</v>
      </c>
      <c r="D43">
        <v>19.399999999999999</v>
      </c>
      <c r="E43">
        <v>9.6999999999999993</v>
      </c>
      <c r="F43">
        <v>0</v>
      </c>
    </row>
    <row r="44" spans="1:6" x14ac:dyDescent="0.25">
      <c r="A44">
        <v>2</v>
      </c>
      <c r="B44" t="s">
        <v>7</v>
      </c>
      <c r="C44">
        <v>5</v>
      </c>
      <c r="D44">
        <v>29.72</v>
      </c>
      <c r="E44">
        <v>9.9066666669999996</v>
      </c>
      <c r="F44">
        <v>0</v>
      </c>
    </row>
    <row r="45" spans="1:6" x14ac:dyDescent="0.25">
      <c r="A45">
        <v>2</v>
      </c>
      <c r="B45" t="s">
        <v>8</v>
      </c>
      <c r="C45">
        <v>1</v>
      </c>
      <c r="D45">
        <v>9.64</v>
      </c>
      <c r="E45">
        <v>9.64</v>
      </c>
      <c r="F45">
        <v>0</v>
      </c>
    </row>
    <row r="46" spans="1:6" x14ac:dyDescent="0.25">
      <c r="A46">
        <v>2</v>
      </c>
      <c r="B46" t="s">
        <v>8</v>
      </c>
      <c r="C46">
        <v>2</v>
      </c>
      <c r="D46">
        <v>50.21</v>
      </c>
      <c r="E46">
        <v>12.5525</v>
      </c>
      <c r="F46">
        <v>0</v>
      </c>
    </row>
    <row r="47" spans="1:6" x14ac:dyDescent="0.25">
      <c r="A47">
        <v>2</v>
      </c>
      <c r="B47" t="s">
        <v>8</v>
      </c>
      <c r="C47">
        <v>4</v>
      </c>
      <c r="D47">
        <v>51.53</v>
      </c>
      <c r="E47">
        <v>12.8825</v>
      </c>
      <c r="F47">
        <v>1</v>
      </c>
    </row>
    <row r="48" spans="1:6" x14ac:dyDescent="0.25">
      <c r="A48">
        <v>2</v>
      </c>
      <c r="B48" t="s">
        <v>8</v>
      </c>
      <c r="C48">
        <v>5</v>
      </c>
      <c r="D48">
        <v>15.72</v>
      </c>
      <c r="E48">
        <v>7.86</v>
      </c>
      <c r="F48">
        <v>0</v>
      </c>
    </row>
    <row r="49" spans="1:6" x14ac:dyDescent="0.25">
      <c r="A49">
        <v>2</v>
      </c>
      <c r="B49" t="s">
        <v>9</v>
      </c>
      <c r="C49">
        <v>1</v>
      </c>
      <c r="D49">
        <v>19.010000000000002</v>
      </c>
      <c r="E49">
        <v>9.5050000000000008</v>
      </c>
      <c r="F49">
        <v>1</v>
      </c>
    </row>
    <row r="50" spans="1:6" x14ac:dyDescent="0.25">
      <c r="A50">
        <v>2</v>
      </c>
      <c r="B50" t="s">
        <v>9</v>
      </c>
      <c r="C50">
        <v>2</v>
      </c>
      <c r="D50">
        <v>19.649999999999999</v>
      </c>
      <c r="E50">
        <v>6.55</v>
      </c>
      <c r="F50">
        <v>0</v>
      </c>
    </row>
    <row r="51" spans="1:6" x14ac:dyDescent="0.25">
      <c r="A51">
        <v>2</v>
      </c>
      <c r="B51" t="s">
        <v>9</v>
      </c>
      <c r="C51">
        <v>3</v>
      </c>
      <c r="D51">
        <v>30.71</v>
      </c>
      <c r="E51">
        <v>10.23666667</v>
      </c>
      <c r="F51">
        <v>0</v>
      </c>
    </row>
    <row r="52" spans="1:6" x14ac:dyDescent="0.25">
      <c r="A52">
        <v>2</v>
      </c>
      <c r="B52" t="s">
        <v>9</v>
      </c>
      <c r="C52">
        <v>4</v>
      </c>
      <c r="D52">
        <v>39.04</v>
      </c>
      <c r="E52">
        <v>19.52</v>
      </c>
      <c r="F52">
        <v>0</v>
      </c>
    </row>
    <row r="53" spans="1:6" x14ac:dyDescent="0.25">
      <c r="A53">
        <v>2</v>
      </c>
      <c r="B53" t="s">
        <v>9</v>
      </c>
      <c r="C53">
        <v>5</v>
      </c>
      <c r="D53">
        <v>34.5</v>
      </c>
      <c r="E53">
        <v>11.5</v>
      </c>
      <c r="F53">
        <v>0</v>
      </c>
    </row>
    <row r="54" spans="1:6" x14ac:dyDescent="0.25">
      <c r="A54">
        <v>2</v>
      </c>
      <c r="B54" t="s">
        <v>10</v>
      </c>
      <c r="C54">
        <v>1</v>
      </c>
      <c r="D54">
        <v>31.61</v>
      </c>
      <c r="E54">
        <v>8.06</v>
      </c>
      <c r="F54">
        <v>1</v>
      </c>
    </row>
    <row r="55" spans="1:6" x14ac:dyDescent="0.25">
      <c r="A55">
        <v>2</v>
      </c>
      <c r="B55" t="s">
        <v>10</v>
      </c>
      <c r="C55">
        <v>2</v>
      </c>
      <c r="D55">
        <v>27.41</v>
      </c>
      <c r="E55">
        <v>10.172000000000001</v>
      </c>
      <c r="F55">
        <v>2</v>
      </c>
    </row>
    <row r="56" spans="1:6" x14ac:dyDescent="0.25">
      <c r="A56">
        <v>2</v>
      </c>
      <c r="B56" t="s">
        <v>10</v>
      </c>
      <c r="C56">
        <v>3</v>
      </c>
      <c r="D56">
        <v>46.46</v>
      </c>
      <c r="E56">
        <v>10.83769231</v>
      </c>
      <c r="F56">
        <v>1</v>
      </c>
    </row>
    <row r="57" spans="1:6" x14ac:dyDescent="0.25">
      <c r="A57">
        <v>2</v>
      </c>
      <c r="B57" t="s">
        <v>10</v>
      </c>
      <c r="C57">
        <v>4</v>
      </c>
      <c r="D57">
        <v>35.58</v>
      </c>
      <c r="E57">
        <v>7.9587500000000002</v>
      </c>
      <c r="F57">
        <v>5</v>
      </c>
    </row>
    <row r="58" spans="1:6" x14ac:dyDescent="0.25">
      <c r="A58">
        <v>2</v>
      </c>
      <c r="B58" t="s">
        <v>10</v>
      </c>
      <c r="C58">
        <v>5</v>
      </c>
      <c r="D58">
        <v>15.99</v>
      </c>
      <c r="E58">
        <v>5.7007692309999998</v>
      </c>
      <c r="F58">
        <v>1</v>
      </c>
    </row>
    <row r="59" spans="1:6" x14ac:dyDescent="0.25">
      <c r="A59">
        <v>3</v>
      </c>
      <c r="B59" t="s">
        <v>5</v>
      </c>
      <c r="C59">
        <v>1</v>
      </c>
      <c r="D59">
        <v>4.7699999999999996</v>
      </c>
      <c r="E59">
        <v>4.7699999999999996</v>
      </c>
      <c r="F59">
        <v>1</v>
      </c>
    </row>
    <row r="60" spans="1:6" x14ac:dyDescent="0.25">
      <c r="A60">
        <v>3</v>
      </c>
      <c r="B60" t="s">
        <v>5</v>
      </c>
      <c r="C60">
        <v>2</v>
      </c>
      <c r="D60">
        <v>6.7</v>
      </c>
      <c r="E60">
        <v>3.35</v>
      </c>
      <c r="F60">
        <v>2</v>
      </c>
    </row>
    <row r="61" spans="1:6" x14ac:dyDescent="0.25">
      <c r="A61">
        <v>3</v>
      </c>
      <c r="B61" t="s">
        <v>5</v>
      </c>
      <c r="C61">
        <v>4</v>
      </c>
      <c r="D61">
        <v>1.98</v>
      </c>
      <c r="E61">
        <v>1.98</v>
      </c>
      <c r="F61">
        <v>0</v>
      </c>
    </row>
    <row r="62" spans="1:6" x14ac:dyDescent="0.25">
      <c r="A62">
        <v>3</v>
      </c>
      <c r="B62" t="s">
        <v>5</v>
      </c>
      <c r="C62">
        <v>5</v>
      </c>
      <c r="D62">
        <v>3.62</v>
      </c>
      <c r="E62">
        <v>1.81</v>
      </c>
      <c r="F62">
        <v>0</v>
      </c>
    </row>
    <row r="63" spans="1:6" x14ac:dyDescent="0.25">
      <c r="A63">
        <v>3</v>
      </c>
      <c r="B63" t="s">
        <v>6</v>
      </c>
      <c r="C63">
        <v>1</v>
      </c>
      <c r="D63">
        <v>20.96</v>
      </c>
      <c r="E63">
        <v>10.48</v>
      </c>
      <c r="F63">
        <v>0</v>
      </c>
    </row>
    <row r="64" spans="1:6" x14ac:dyDescent="0.25">
      <c r="A64">
        <v>3</v>
      </c>
      <c r="B64" t="s">
        <v>6</v>
      </c>
      <c r="C64">
        <v>2</v>
      </c>
      <c r="D64">
        <v>8.02</v>
      </c>
      <c r="E64">
        <v>8.02</v>
      </c>
      <c r="F64">
        <v>0</v>
      </c>
    </row>
    <row r="65" spans="1:6" x14ac:dyDescent="0.25">
      <c r="A65">
        <v>3</v>
      </c>
      <c r="B65" t="s">
        <v>6</v>
      </c>
      <c r="C65">
        <v>3</v>
      </c>
      <c r="D65">
        <v>22.61</v>
      </c>
      <c r="E65">
        <v>5.6524999999999999</v>
      </c>
      <c r="F65">
        <v>1</v>
      </c>
    </row>
    <row r="66" spans="1:6" x14ac:dyDescent="0.25">
      <c r="A66">
        <v>3</v>
      </c>
      <c r="B66" t="s">
        <v>6</v>
      </c>
      <c r="C66">
        <v>4</v>
      </c>
      <c r="D66">
        <v>10.5</v>
      </c>
      <c r="E66">
        <v>5.25</v>
      </c>
      <c r="F66">
        <v>0</v>
      </c>
    </row>
    <row r="67" spans="1:6" x14ac:dyDescent="0.25">
      <c r="A67">
        <v>3</v>
      </c>
      <c r="B67" t="s">
        <v>6</v>
      </c>
      <c r="C67">
        <v>5</v>
      </c>
      <c r="D67">
        <v>7.31</v>
      </c>
      <c r="E67">
        <v>3.6549999999999998</v>
      </c>
      <c r="F67">
        <v>0</v>
      </c>
    </row>
    <row r="68" spans="1:6" x14ac:dyDescent="0.25">
      <c r="A68">
        <v>3</v>
      </c>
      <c r="B68" t="s">
        <v>7</v>
      </c>
      <c r="C68">
        <v>1</v>
      </c>
      <c r="D68">
        <v>8.94</v>
      </c>
      <c r="E68">
        <v>8.94</v>
      </c>
      <c r="F68">
        <v>0</v>
      </c>
    </row>
    <row r="69" spans="1:6" x14ac:dyDescent="0.25">
      <c r="A69">
        <v>3</v>
      </c>
      <c r="B69" t="s">
        <v>7</v>
      </c>
      <c r="C69">
        <v>3</v>
      </c>
      <c r="D69">
        <v>14.38</v>
      </c>
      <c r="E69">
        <v>14.38</v>
      </c>
      <c r="F69">
        <v>0</v>
      </c>
    </row>
    <row r="70" spans="1:6" x14ac:dyDescent="0.25">
      <c r="A70">
        <v>3</v>
      </c>
      <c r="B70" t="s">
        <v>7</v>
      </c>
      <c r="C70">
        <v>4</v>
      </c>
      <c r="D70">
        <v>7.69</v>
      </c>
      <c r="E70">
        <v>3.8450000000000002</v>
      </c>
      <c r="F70">
        <v>0</v>
      </c>
    </row>
    <row r="71" spans="1:6" x14ac:dyDescent="0.25">
      <c r="A71">
        <v>3</v>
      </c>
      <c r="B71" t="s">
        <v>7</v>
      </c>
      <c r="C71">
        <v>5</v>
      </c>
      <c r="D71">
        <v>13.38</v>
      </c>
      <c r="E71">
        <v>6.69</v>
      </c>
      <c r="F71">
        <v>0</v>
      </c>
    </row>
    <row r="72" spans="1:6" x14ac:dyDescent="0.25">
      <c r="A72">
        <v>3</v>
      </c>
      <c r="B72" t="s">
        <v>8</v>
      </c>
      <c r="C72">
        <v>1</v>
      </c>
      <c r="D72">
        <v>18.079999999999998</v>
      </c>
      <c r="E72">
        <v>9.0399999999999991</v>
      </c>
      <c r="F72">
        <v>0</v>
      </c>
    </row>
    <row r="73" spans="1:6" x14ac:dyDescent="0.25">
      <c r="A73">
        <v>3</v>
      </c>
      <c r="B73" t="s">
        <v>8</v>
      </c>
      <c r="C73">
        <v>2</v>
      </c>
      <c r="D73">
        <v>42.64</v>
      </c>
      <c r="E73">
        <v>14.213333329999999</v>
      </c>
      <c r="F73">
        <v>1</v>
      </c>
    </row>
    <row r="74" spans="1:6" x14ac:dyDescent="0.25">
      <c r="A74">
        <v>3</v>
      </c>
      <c r="B74" t="s">
        <v>8</v>
      </c>
      <c r="C74">
        <v>3</v>
      </c>
      <c r="D74">
        <v>29.93</v>
      </c>
      <c r="E74">
        <v>9.9766666669999999</v>
      </c>
      <c r="F74">
        <v>0</v>
      </c>
    </row>
    <row r="75" spans="1:6" x14ac:dyDescent="0.25">
      <c r="A75">
        <v>3</v>
      </c>
      <c r="B75" t="s">
        <v>8</v>
      </c>
      <c r="C75">
        <v>4</v>
      </c>
      <c r="D75">
        <v>32.880000000000003</v>
      </c>
      <c r="E75">
        <v>10.96</v>
      </c>
      <c r="F75">
        <v>0</v>
      </c>
    </row>
    <row r="76" spans="1:6" x14ac:dyDescent="0.25">
      <c r="A76">
        <v>3</v>
      </c>
      <c r="B76" t="s">
        <v>8</v>
      </c>
      <c r="C76">
        <v>5</v>
      </c>
      <c r="D76">
        <v>11.38</v>
      </c>
      <c r="E76">
        <v>5.69</v>
      </c>
      <c r="F76">
        <v>0</v>
      </c>
    </row>
    <row r="77" spans="1:6" x14ac:dyDescent="0.25">
      <c r="A77">
        <v>3</v>
      </c>
      <c r="B77" t="s">
        <v>9</v>
      </c>
      <c r="C77">
        <v>1</v>
      </c>
      <c r="D77">
        <v>25.78</v>
      </c>
      <c r="E77">
        <v>8.5933333330000004</v>
      </c>
      <c r="F77">
        <v>0</v>
      </c>
    </row>
    <row r="78" spans="1:6" x14ac:dyDescent="0.25">
      <c r="A78">
        <v>3</v>
      </c>
      <c r="B78" t="s">
        <v>9</v>
      </c>
      <c r="C78">
        <v>2</v>
      </c>
      <c r="D78">
        <v>27.27</v>
      </c>
      <c r="E78">
        <v>13.635</v>
      </c>
      <c r="F78">
        <v>0</v>
      </c>
    </row>
    <row r="79" spans="1:6" x14ac:dyDescent="0.25">
      <c r="A79">
        <v>3</v>
      </c>
      <c r="B79" t="s">
        <v>9</v>
      </c>
      <c r="C79">
        <v>3</v>
      </c>
      <c r="D79">
        <v>35.200000000000003</v>
      </c>
      <c r="E79">
        <v>8.8000000000000007</v>
      </c>
      <c r="F79">
        <v>1</v>
      </c>
    </row>
    <row r="80" spans="1:6" x14ac:dyDescent="0.25">
      <c r="A80">
        <v>3</v>
      </c>
      <c r="B80" t="s">
        <v>9</v>
      </c>
      <c r="C80">
        <v>4</v>
      </c>
      <c r="D80">
        <v>31.2</v>
      </c>
      <c r="E80">
        <v>10.4</v>
      </c>
      <c r="F80">
        <v>0</v>
      </c>
    </row>
    <row r="81" spans="1:6" x14ac:dyDescent="0.25">
      <c r="A81">
        <v>3</v>
      </c>
      <c r="B81" t="s">
        <v>9</v>
      </c>
      <c r="C81">
        <v>5</v>
      </c>
      <c r="D81">
        <v>36.020000000000003</v>
      </c>
      <c r="E81">
        <v>12.00666667</v>
      </c>
      <c r="F81">
        <v>0</v>
      </c>
    </row>
    <row r="82" spans="1:6" x14ac:dyDescent="0.25">
      <c r="A82">
        <v>3</v>
      </c>
      <c r="B82" t="s">
        <v>10</v>
      </c>
      <c r="C82">
        <v>1</v>
      </c>
      <c r="D82">
        <v>5.1999999999999993</v>
      </c>
      <c r="E82">
        <v>6.1987500000000004</v>
      </c>
      <c r="F82">
        <v>0</v>
      </c>
    </row>
    <row r="83" spans="1:6" x14ac:dyDescent="0.25">
      <c r="A83">
        <v>3</v>
      </c>
      <c r="B83" t="s">
        <v>10</v>
      </c>
      <c r="C83">
        <v>2</v>
      </c>
      <c r="D83">
        <v>27.96</v>
      </c>
      <c r="E83">
        <v>5.5647368420000003</v>
      </c>
      <c r="F83">
        <v>1</v>
      </c>
    </row>
    <row r="84" spans="1:6" x14ac:dyDescent="0.25">
      <c r="A84">
        <v>3</v>
      </c>
      <c r="B84" t="s">
        <v>10</v>
      </c>
      <c r="C84">
        <v>3</v>
      </c>
      <c r="D84">
        <v>6.74</v>
      </c>
      <c r="E84">
        <v>5.3077777780000002</v>
      </c>
      <c r="F84">
        <v>1</v>
      </c>
    </row>
    <row r="85" spans="1:6" x14ac:dyDescent="0.25">
      <c r="A85">
        <v>3</v>
      </c>
      <c r="B85" t="s">
        <v>10</v>
      </c>
      <c r="C85">
        <v>4</v>
      </c>
      <c r="D85">
        <v>54.080000000000005</v>
      </c>
      <c r="E85">
        <v>6.9244444439999997</v>
      </c>
      <c r="F85">
        <v>0</v>
      </c>
    </row>
    <row r="86" spans="1:6" x14ac:dyDescent="0.25">
      <c r="A86">
        <v>3</v>
      </c>
      <c r="B86" t="s">
        <v>10</v>
      </c>
      <c r="C86">
        <v>5</v>
      </c>
      <c r="D86">
        <v>32.01</v>
      </c>
      <c r="E86">
        <v>6.979310345</v>
      </c>
      <c r="F86">
        <v>0</v>
      </c>
    </row>
    <row r="87" spans="1:6" x14ac:dyDescent="0.25">
      <c r="A87">
        <v>4</v>
      </c>
      <c r="B87" t="s">
        <v>5</v>
      </c>
      <c r="C87">
        <v>1</v>
      </c>
      <c r="D87">
        <v>1.96</v>
      </c>
      <c r="E87">
        <v>1.96</v>
      </c>
      <c r="F87">
        <v>0</v>
      </c>
    </row>
    <row r="88" spans="1:6" x14ac:dyDescent="0.25">
      <c r="A88">
        <v>4</v>
      </c>
      <c r="B88" t="s">
        <v>5</v>
      </c>
      <c r="C88">
        <v>2</v>
      </c>
      <c r="D88">
        <v>5.95</v>
      </c>
      <c r="E88">
        <v>2.9750000000000001</v>
      </c>
      <c r="F88">
        <v>1</v>
      </c>
    </row>
    <row r="89" spans="1:6" x14ac:dyDescent="0.25">
      <c r="A89">
        <v>4</v>
      </c>
      <c r="B89" t="s">
        <v>5</v>
      </c>
      <c r="C89">
        <v>3</v>
      </c>
      <c r="D89">
        <v>10.69</v>
      </c>
      <c r="E89">
        <v>2.6724999999999999</v>
      </c>
      <c r="F89">
        <v>1</v>
      </c>
    </row>
    <row r="90" spans="1:6" x14ac:dyDescent="0.25">
      <c r="A90">
        <v>4</v>
      </c>
      <c r="B90" t="s">
        <v>5</v>
      </c>
      <c r="C90">
        <v>4</v>
      </c>
      <c r="D90">
        <v>2.68</v>
      </c>
      <c r="E90">
        <v>2.68</v>
      </c>
      <c r="F90">
        <v>0</v>
      </c>
    </row>
    <row r="91" spans="1:6" x14ac:dyDescent="0.25">
      <c r="A91">
        <v>4</v>
      </c>
      <c r="B91" t="s">
        <v>5</v>
      </c>
      <c r="C91">
        <v>5</v>
      </c>
      <c r="D91">
        <v>1.0900000000000001</v>
      </c>
      <c r="E91">
        <v>0.54500000000000004</v>
      </c>
      <c r="F91">
        <v>0</v>
      </c>
    </row>
    <row r="92" spans="1:6" x14ac:dyDescent="0.25">
      <c r="A92">
        <v>4</v>
      </c>
      <c r="B92" t="s">
        <v>6</v>
      </c>
      <c r="C92">
        <v>1</v>
      </c>
      <c r="D92">
        <v>19.46</v>
      </c>
      <c r="E92">
        <v>6.4866666669999997</v>
      </c>
      <c r="F92">
        <v>0</v>
      </c>
    </row>
    <row r="93" spans="1:6" x14ac:dyDescent="0.25">
      <c r="A93">
        <v>4</v>
      </c>
      <c r="B93" t="s">
        <v>6</v>
      </c>
      <c r="C93">
        <v>2</v>
      </c>
      <c r="D93">
        <v>13.53</v>
      </c>
      <c r="E93">
        <v>6.7649999999999997</v>
      </c>
      <c r="F93">
        <v>0</v>
      </c>
    </row>
    <row r="94" spans="1:6" x14ac:dyDescent="0.25">
      <c r="A94">
        <v>4</v>
      </c>
      <c r="B94" t="s">
        <v>6</v>
      </c>
      <c r="C94">
        <v>3</v>
      </c>
      <c r="D94">
        <v>17.34</v>
      </c>
      <c r="E94">
        <v>17.34</v>
      </c>
      <c r="F94">
        <v>0</v>
      </c>
    </row>
    <row r="95" spans="1:6" x14ac:dyDescent="0.25">
      <c r="A95">
        <v>4</v>
      </c>
      <c r="B95" t="s">
        <v>6</v>
      </c>
      <c r="C95">
        <v>5</v>
      </c>
      <c r="D95">
        <v>27.86</v>
      </c>
      <c r="E95">
        <v>5.5720000000000001</v>
      </c>
      <c r="F95">
        <v>0</v>
      </c>
    </row>
    <row r="96" spans="1:6" x14ac:dyDescent="0.25">
      <c r="A96">
        <v>4</v>
      </c>
      <c r="B96" t="s">
        <v>7</v>
      </c>
      <c r="C96">
        <v>1</v>
      </c>
      <c r="D96">
        <v>6.05</v>
      </c>
      <c r="E96">
        <v>6.05</v>
      </c>
      <c r="F96">
        <v>0</v>
      </c>
    </row>
    <row r="97" spans="1:6" x14ac:dyDescent="0.25">
      <c r="A97">
        <v>4</v>
      </c>
      <c r="B97" t="s">
        <v>7</v>
      </c>
      <c r="C97">
        <v>2</v>
      </c>
      <c r="D97">
        <v>3.88</v>
      </c>
      <c r="E97">
        <v>3.88</v>
      </c>
      <c r="F97">
        <v>0</v>
      </c>
    </row>
    <row r="98" spans="1:6" x14ac:dyDescent="0.25">
      <c r="A98">
        <v>4</v>
      </c>
      <c r="B98" t="s">
        <v>7</v>
      </c>
      <c r="C98">
        <v>3</v>
      </c>
      <c r="D98">
        <v>22.68</v>
      </c>
      <c r="E98">
        <v>5.67</v>
      </c>
      <c r="F98">
        <v>0</v>
      </c>
    </row>
    <row r="99" spans="1:6" x14ac:dyDescent="0.25">
      <c r="A99">
        <v>4</v>
      </c>
      <c r="B99" t="s">
        <v>7</v>
      </c>
      <c r="C99">
        <v>5</v>
      </c>
      <c r="D99">
        <v>13.46</v>
      </c>
      <c r="E99">
        <v>4.4866666669999997</v>
      </c>
      <c r="F99">
        <v>0</v>
      </c>
    </row>
    <row r="100" spans="1:6" x14ac:dyDescent="0.25">
      <c r="A100">
        <v>4</v>
      </c>
      <c r="B100" t="s">
        <v>8</v>
      </c>
      <c r="C100">
        <v>1</v>
      </c>
      <c r="D100">
        <v>9.36</v>
      </c>
      <c r="E100">
        <v>4.68</v>
      </c>
      <c r="F100">
        <v>0</v>
      </c>
    </row>
    <row r="101" spans="1:6" x14ac:dyDescent="0.25">
      <c r="A101">
        <v>4</v>
      </c>
      <c r="B101" t="s">
        <v>8</v>
      </c>
      <c r="C101">
        <v>2</v>
      </c>
      <c r="D101">
        <v>10.119999999999999</v>
      </c>
      <c r="E101">
        <v>5.0599999999999996</v>
      </c>
      <c r="F101">
        <v>0</v>
      </c>
    </row>
    <row r="102" spans="1:6" x14ac:dyDescent="0.25">
      <c r="A102">
        <v>4</v>
      </c>
      <c r="B102" t="s">
        <v>8</v>
      </c>
      <c r="C102">
        <v>3</v>
      </c>
      <c r="D102">
        <v>6.31</v>
      </c>
      <c r="E102">
        <v>6.31</v>
      </c>
      <c r="F102">
        <v>0</v>
      </c>
    </row>
    <row r="103" spans="1:6" x14ac:dyDescent="0.25">
      <c r="A103">
        <v>4</v>
      </c>
      <c r="B103" t="s">
        <v>8</v>
      </c>
      <c r="C103">
        <v>4</v>
      </c>
      <c r="D103">
        <v>6.89</v>
      </c>
      <c r="E103">
        <v>6.89</v>
      </c>
      <c r="F103">
        <v>0</v>
      </c>
    </row>
    <row r="104" spans="1:6" x14ac:dyDescent="0.25">
      <c r="A104">
        <v>4</v>
      </c>
      <c r="B104" t="s">
        <v>8</v>
      </c>
      <c r="C104">
        <v>5</v>
      </c>
      <c r="D104">
        <v>11.56</v>
      </c>
      <c r="E104">
        <v>3.8533333330000001</v>
      </c>
      <c r="F104">
        <v>0</v>
      </c>
    </row>
    <row r="105" spans="1:6" x14ac:dyDescent="0.25">
      <c r="A105">
        <v>4</v>
      </c>
      <c r="B105" t="s">
        <v>9</v>
      </c>
      <c r="C105">
        <v>1</v>
      </c>
      <c r="D105">
        <v>18.37</v>
      </c>
      <c r="E105">
        <v>4.5925000000000002</v>
      </c>
      <c r="F105">
        <v>0</v>
      </c>
    </row>
    <row r="106" spans="1:6" x14ac:dyDescent="0.25">
      <c r="A106">
        <v>4</v>
      </c>
      <c r="B106" t="s">
        <v>9</v>
      </c>
      <c r="C106">
        <v>2</v>
      </c>
      <c r="D106">
        <v>13.5</v>
      </c>
      <c r="E106">
        <v>13.5</v>
      </c>
      <c r="F106">
        <v>0</v>
      </c>
    </row>
    <row r="107" spans="1:6" x14ac:dyDescent="0.25">
      <c r="A107">
        <v>4</v>
      </c>
      <c r="B107" t="s">
        <v>9</v>
      </c>
      <c r="C107">
        <v>3</v>
      </c>
      <c r="D107">
        <v>49.81</v>
      </c>
      <c r="E107">
        <v>9.9619999999999997</v>
      </c>
      <c r="F107">
        <v>0</v>
      </c>
    </row>
    <row r="108" spans="1:6" x14ac:dyDescent="0.25">
      <c r="A108">
        <v>4</v>
      </c>
      <c r="B108" t="s">
        <v>9</v>
      </c>
      <c r="C108">
        <v>4</v>
      </c>
      <c r="D108">
        <v>12.3</v>
      </c>
      <c r="E108">
        <v>12.3</v>
      </c>
      <c r="F108">
        <v>0</v>
      </c>
    </row>
    <row r="109" spans="1:6" x14ac:dyDescent="0.25">
      <c r="A109">
        <v>4</v>
      </c>
      <c r="B109" t="s">
        <v>9</v>
      </c>
      <c r="C109">
        <v>5</v>
      </c>
      <c r="D109">
        <v>15.46</v>
      </c>
      <c r="E109">
        <v>5.153333333</v>
      </c>
      <c r="F109">
        <v>0</v>
      </c>
    </row>
    <row r="110" spans="1:6" x14ac:dyDescent="0.25">
      <c r="A110">
        <v>4</v>
      </c>
      <c r="B110" t="s">
        <v>10</v>
      </c>
      <c r="C110">
        <v>1</v>
      </c>
      <c r="D110">
        <v>10.96</v>
      </c>
      <c r="E110">
        <v>5.4487500000000004</v>
      </c>
      <c r="F110">
        <v>0</v>
      </c>
    </row>
    <row r="111" spans="1:6" x14ac:dyDescent="0.25">
      <c r="A111">
        <v>4</v>
      </c>
      <c r="B111" t="s">
        <v>10</v>
      </c>
      <c r="C111">
        <v>2</v>
      </c>
      <c r="D111">
        <v>23.01</v>
      </c>
      <c r="E111">
        <v>5.48</v>
      </c>
      <c r="F111">
        <v>0</v>
      </c>
    </row>
    <row r="112" spans="1:6" x14ac:dyDescent="0.25">
      <c r="A112">
        <v>4</v>
      </c>
      <c r="B112" t="s">
        <v>10</v>
      </c>
      <c r="C112">
        <v>3</v>
      </c>
      <c r="D112">
        <v>55.69</v>
      </c>
      <c r="E112">
        <v>5.9303846150000004</v>
      </c>
      <c r="F112">
        <v>11</v>
      </c>
    </row>
    <row r="113" spans="1:6" x14ac:dyDescent="0.25">
      <c r="A113">
        <v>4</v>
      </c>
      <c r="B113" t="s">
        <v>10</v>
      </c>
      <c r="C113">
        <v>4</v>
      </c>
      <c r="D113">
        <v>23.86</v>
      </c>
      <c r="E113">
        <v>6.5149999999999997</v>
      </c>
      <c r="F113">
        <v>0</v>
      </c>
    </row>
    <row r="114" spans="1:6" x14ac:dyDescent="0.25">
      <c r="A114">
        <v>4</v>
      </c>
      <c r="B114" t="s">
        <v>10</v>
      </c>
      <c r="C114">
        <v>5</v>
      </c>
      <c r="D114">
        <v>17.63</v>
      </c>
      <c r="E114">
        <v>7.5971428569999997</v>
      </c>
      <c r="F114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AD58FD-1EAC-4A30-BAAF-33993FF761A8}">
  <dimension ref="A1:H120"/>
  <sheetViews>
    <sheetView workbookViewId="0">
      <selection activeCell="I37" sqref="I3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15</v>
      </c>
      <c r="F1" t="s">
        <v>16</v>
      </c>
      <c r="G1" t="s">
        <v>4</v>
      </c>
    </row>
    <row r="2" spans="1:8" x14ac:dyDescent="0.25">
      <c r="A2">
        <v>1</v>
      </c>
      <c r="B2">
        <v>1</v>
      </c>
      <c r="C2" t="s">
        <v>5</v>
      </c>
      <c r="D2">
        <v>3</v>
      </c>
      <c r="E2">
        <v>9</v>
      </c>
      <c r="F2">
        <f>D2/E2</f>
        <v>0.33333333333333331</v>
      </c>
      <c r="G2">
        <f>E2-D2</f>
        <v>6</v>
      </c>
    </row>
    <row r="3" spans="1:8" x14ac:dyDescent="0.25">
      <c r="A3">
        <v>2</v>
      </c>
      <c r="B3">
        <v>1</v>
      </c>
      <c r="C3" s="2" t="s">
        <v>5</v>
      </c>
      <c r="D3" s="2">
        <v>2</v>
      </c>
      <c r="E3" s="2">
        <v>9</v>
      </c>
      <c r="F3">
        <f>D3/E3</f>
        <v>0.22222222222222221</v>
      </c>
      <c r="G3">
        <f t="shared" ref="G3:G66" si="0">E3-D3</f>
        <v>7</v>
      </c>
    </row>
    <row r="4" spans="1:8" x14ac:dyDescent="0.25">
      <c r="A4">
        <v>3</v>
      </c>
      <c r="B4">
        <v>1</v>
      </c>
      <c r="C4" t="s">
        <v>5</v>
      </c>
      <c r="D4">
        <v>2</v>
      </c>
      <c r="E4" s="2">
        <v>6</v>
      </c>
      <c r="F4">
        <f>D4/E4</f>
        <v>0.33333333333333331</v>
      </c>
      <c r="G4">
        <f t="shared" si="0"/>
        <v>4</v>
      </c>
    </row>
    <row r="5" spans="1:8" x14ac:dyDescent="0.25">
      <c r="A5">
        <v>4</v>
      </c>
      <c r="B5">
        <v>1</v>
      </c>
      <c r="C5" t="s">
        <v>5</v>
      </c>
      <c r="D5">
        <v>2</v>
      </c>
      <c r="E5">
        <v>6</v>
      </c>
      <c r="F5">
        <f>D5/E5</f>
        <v>0.33333333333333331</v>
      </c>
      <c r="G5">
        <f t="shared" si="0"/>
        <v>4</v>
      </c>
    </row>
    <row r="6" spans="1:8" x14ac:dyDescent="0.25">
      <c r="A6">
        <v>5</v>
      </c>
      <c r="B6">
        <v>1</v>
      </c>
      <c r="C6" t="s">
        <v>5</v>
      </c>
      <c r="D6">
        <v>1</v>
      </c>
      <c r="E6">
        <v>9</v>
      </c>
      <c r="F6">
        <f>D6/E6</f>
        <v>0.1111111111111111</v>
      </c>
      <c r="G6">
        <f t="shared" si="0"/>
        <v>8</v>
      </c>
    </row>
    <row r="7" spans="1:8" x14ac:dyDescent="0.25">
      <c r="A7">
        <v>1</v>
      </c>
      <c r="B7">
        <v>1</v>
      </c>
      <c r="C7" t="s">
        <v>6</v>
      </c>
      <c r="D7">
        <v>3</v>
      </c>
      <c r="E7">
        <v>3</v>
      </c>
      <c r="F7">
        <f>D7/E7</f>
        <v>1</v>
      </c>
      <c r="G7">
        <f t="shared" si="0"/>
        <v>0</v>
      </c>
    </row>
    <row r="8" spans="1:8" x14ac:dyDescent="0.25">
      <c r="A8">
        <v>2</v>
      </c>
      <c r="B8">
        <v>1</v>
      </c>
      <c r="C8" t="s">
        <v>6</v>
      </c>
      <c r="D8">
        <v>2</v>
      </c>
      <c r="E8">
        <v>4</v>
      </c>
      <c r="F8">
        <f>D8/E8</f>
        <v>0.5</v>
      </c>
      <c r="G8">
        <f t="shared" si="0"/>
        <v>2</v>
      </c>
    </row>
    <row r="9" spans="1:8" x14ac:dyDescent="0.25">
      <c r="A9">
        <v>3</v>
      </c>
      <c r="B9">
        <v>1</v>
      </c>
      <c r="C9" t="s">
        <v>6</v>
      </c>
      <c r="D9">
        <v>1</v>
      </c>
      <c r="E9">
        <v>2</v>
      </c>
      <c r="F9">
        <f>D9/E9</f>
        <v>0.5</v>
      </c>
      <c r="G9">
        <f t="shared" si="0"/>
        <v>1</v>
      </c>
    </row>
    <row r="10" spans="1:8" x14ac:dyDescent="0.25">
      <c r="A10">
        <v>4</v>
      </c>
      <c r="B10">
        <v>1</v>
      </c>
      <c r="C10" t="s">
        <v>6</v>
      </c>
      <c r="D10">
        <v>2</v>
      </c>
      <c r="E10">
        <v>4</v>
      </c>
      <c r="F10">
        <f>D10/E10</f>
        <v>0.5</v>
      </c>
      <c r="G10">
        <f t="shared" si="0"/>
        <v>2</v>
      </c>
    </row>
    <row r="11" spans="1:8" x14ac:dyDescent="0.25">
      <c r="A11">
        <v>5</v>
      </c>
      <c r="B11">
        <v>1</v>
      </c>
      <c r="C11" t="s">
        <v>6</v>
      </c>
      <c r="D11">
        <v>2</v>
      </c>
      <c r="E11" s="2">
        <v>6</v>
      </c>
      <c r="F11">
        <f>D11/E11</f>
        <v>0.33333333333333331</v>
      </c>
      <c r="G11">
        <f t="shared" si="0"/>
        <v>4</v>
      </c>
    </row>
    <row r="12" spans="1:8" x14ac:dyDescent="0.25">
      <c r="A12">
        <v>1</v>
      </c>
      <c r="B12">
        <v>1</v>
      </c>
      <c r="C12" t="s">
        <v>7</v>
      </c>
      <c r="D12">
        <v>2</v>
      </c>
      <c r="E12">
        <v>4</v>
      </c>
      <c r="F12">
        <f>D12/E12</f>
        <v>0.5</v>
      </c>
      <c r="G12">
        <f t="shared" si="0"/>
        <v>2</v>
      </c>
    </row>
    <row r="13" spans="1:8" x14ac:dyDescent="0.25">
      <c r="A13">
        <v>2</v>
      </c>
      <c r="B13">
        <v>1</v>
      </c>
      <c r="C13" t="s">
        <v>7</v>
      </c>
      <c r="D13">
        <v>2</v>
      </c>
      <c r="E13">
        <v>4</v>
      </c>
      <c r="F13">
        <f>D13/E13</f>
        <v>0.5</v>
      </c>
      <c r="G13">
        <f t="shared" si="0"/>
        <v>2</v>
      </c>
    </row>
    <row r="14" spans="1:8" x14ac:dyDescent="0.25">
      <c r="A14" s="2">
        <v>3</v>
      </c>
      <c r="B14" s="2">
        <v>1</v>
      </c>
      <c r="C14" s="2" t="s">
        <v>7</v>
      </c>
      <c r="D14" s="2">
        <v>3</v>
      </c>
      <c r="E14" s="2">
        <v>6</v>
      </c>
      <c r="F14">
        <f>D14/E14</f>
        <v>0.5</v>
      </c>
      <c r="G14">
        <f t="shared" si="0"/>
        <v>3</v>
      </c>
      <c r="H14" s="2"/>
    </row>
    <row r="15" spans="1:8" x14ac:dyDescent="0.25">
      <c r="A15">
        <v>4</v>
      </c>
      <c r="B15">
        <v>1</v>
      </c>
      <c r="C15" t="s">
        <v>7</v>
      </c>
      <c r="D15">
        <v>2</v>
      </c>
      <c r="E15">
        <v>4</v>
      </c>
      <c r="F15">
        <f>D15/E15</f>
        <v>0.5</v>
      </c>
      <c r="G15">
        <f t="shared" si="0"/>
        <v>2</v>
      </c>
    </row>
    <row r="16" spans="1:8" x14ac:dyDescent="0.25">
      <c r="A16">
        <v>5</v>
      </c>
      <c r="B16">
        <v>1</v>
      </c>
      <c r="C16" t="s">
        <v>7</v>
      </c>
      <c r="D16">
        <v>1</v>
      </c>
      <c r="E16">
        <v>3</v>
      </c>
      <c r="F16">
        <f>D16/E16</f>
        <v>0.33333333333333331</v>
      </c>
      <c r="G16">
        <f t="shared" si="0"/>
        <v>2</v>
      </c>
    </row>
    <row r="17" spans="1:7" x14ac:dyDescent="0.25">
      <c r="A17">
        <v>1</v>
      </c>
      <c r="B17">
        <v>1</v>
      </c>
      <c r="C17" t="s">
        <v>8</v>
      </c>
      <c r="D17">
        <v>2</v>
      </c>
      <c r="E17">
        <v>2</v>
      </c>
      <c r="F17">
        <f>D17/E17</f>
        <v>1</v>
      </c>
      <c r="G17">
        <f t="shared" si="0"/>
        <v>0</v>
      </c>
    </row>
    <row r="18" spans="1:7" x14ac:dyDescent="0.25">
      <c r="A18">
        <v>2</v>
      </c>
      <c r="B18">
        <v>1</v>
      </c>
      <c r="C18" t="s">
        <v>8</v>
      </c>
      <c r="D18">
        <v>2</v>
      </c>
      <c r="E18">
        <v>2</v>
      </c>
      <c r="F18">
        <f>D18/E18</f>
        <v>1</v>
      </c>
      <c r="G18">
        <f t="shared" si="0"/>
        <v>0</v>
      </c>
    </row>
    <row r="19" spans="1:7" x14ac:dyDescent="0.25">
      <c r="A19">
        <v>3</v>
      </c>
      <c r="B19">
        <v>1</v>
      </c>
      <c r="C19" t="s">
        <v>8</v>
      </c>
      <c r="D19">
        <v>1</v>
      </c>
      <c r="E19">
        <v>2</v>
      </c>
      <c r="F19">
        <f>D19/E19</f>
        <v>0.5</v>
      </c>
      <c r="G19">
        <f t="shared" si="0"/>
        <v>1</v>
      </c>
    </row>
    <row r="20" spans="1:7" x14ac:dyDescent="0.25">
      <c r="A20">
        <v>4</v>
      </c>
      <c r="B20">
        <v>1</v>
      </c>
      <c r="C20" t="s">
        <v>8</v>
      </c>
      <c r="D20">
        <v>3</v>
      </c>
      <c r="E20">
        <v>4</v>
      </c>
      <c r="F20">
        <f>D20/E20</f>
        <v>0.75</v>
      </c>
      <c r="G20">
        <f t="shared" si="0"/>
        <v>1</v>
      </c>
    </row>
    <row r="21" spans="1:7" x14ac:dyDescent="0.25">
      <c r="A21">
        <v>5</v>
      </c>
      <c r="B21">
        <v>1</v>
      </c>
      <c r="C21" t="s">
        <v>8</v>
      </c>
      <c r="D21">
        <v>2</v>
      </c>
      <c r="E21">
        <v>3</v>
      </c>
      <c r="F21">
        <f>D21/E21</f>
        <v>0.66666666666666663</v>
      </c>
      <c r="G21">
        <f t="shared" si="0"/>
        <v>1</v>
      </c>
    </row>
    <row r="22" spans="1:7" x14ac:dyDescent="0.25">
      <c r="A22">
        <v>1</v>
      </c>
      <c r="B22">
        <v>1</v>
      </c>
      <c r="C22" t="s">
        <v>9</v>
      </c>
      <c r="D22">
        <v>3</v>
      </c>
      <c r="E22">
        <v>4</v>
      </c>
      <c r="F22">
        <f>D22/E22</f>
        <v>0.75</v>
      </c>
      <c r="G22">
        <f t="shared" si="0"/>
        <v>1</v>
      </c>
    </row>
    <row r="23" spans="1:7" x14ac:dyDescent="0.25">
      <c r="A23">
        <v>2</v>
      </c>
      <c r="B23">
        <v>1</v>
      </c>
      <c r="C23" t="s">
        <v>9</v>
      </c>
      <c r="D23">
        <v>4</v>
      </c>
      <c r="E23">
        <v>4</v>
      </c>
      <c r="F23">
        <f>D23/E23</f>
        <v>1</v>
      </c>
      <c r="G23">
        <f t="shared" si="0"/>
        <v>0</v>
      </c>
    </row>
    <row r="24" spans="1:7" x14ac:dyDescent="0.25">
      <c r="A24">
        <v>3</v>
      </c>
      <c r="B24">
        <v>1</v>
      </c>
      <c r="C24" t="s">
        <v>9</v>
      </c>
      <c r="D24">
        <v>4</v>
      </c>
      <c r="E24">
        <v>4</v>
      </c>
      <c r="F24">
        <f>D24/E24</f>
        <v>1</v>
      </c>
      <c r="G24">
        <f t="shared" si="0"/>
        <v>0</v>
      </c>
    </row>
    <row r="25" spans="1:7" x14ac:dyDescent="0.25">
      <c r="A25">
        <v>4</v>
      </c>
      <c r="B25">
        <v>1</v>
      </c>
      <c r="C25" t="s">
        <v>9</v>
      </c>
      <c r="D25">
        <v>3</v>
      </c>
      <c r="E25">
        <v>4</v>
      </c>
      <c r="F25">
        <f>D25/E25</f>
        <v>0.75</v>
      </c>
      <c r="G25">
        <f t="shared" si="0"/>
        <v>1</v>
      </c>
    </row>
    <row r="26" spans="1:7" x14ac:dyDescent="0.25">
      <c r="A26">
        <v>5</v>
      </c>
      <c r="B26">
        <v>1</v>
      </c>
      <c r="C26" t="s">
        <v>9</v>
      </c>
      <c r="D26">
        <v>4</v>
      </c>
      <c r="E26">
        <v>4</v>
      </c>
      <c r="F26">
        <f>D26/E26</f>
        <v>1</v>
      </c>
      <c r="G26">
        <f t="shared" si="0"/>
        <v>0</v>
      </c>
    </row>
    <row r="27" spans="1:7" x14ac:dyDescent="0.25">
      <c r="A27">
        <v>1</v>
      </c>
      <c r="B27">
        <v>1</v>
      </c>
      <c r="C27" t="s">
        <v>10</v>
      </c>
      <c r="D27">
        <v>3</v>
      </c>
      <c r="E27">
        <v>3</v>
      </c>
      <c r="F27">
        <f>D27/E27</f>
        <v>1</v>
      </c>
      <c r="G27">
        <f t="shared" si="0"/>
        <v>0</v>
      </c>
    </row>
    <row r="28" spans="1:7" x14ac:dyDescent="0.25">
      <c r="A28">
        <v>2</v>
      </c>
      <c r="B28">
        <v>1</v>
      </c>
      <c r="C28" t="s">
        <v>10</v>
      </c>
      <c r="D28">
        <v>3</v>
      </c>
      <c r="E28">
        <v>4</v>
      </c>
      <c r="F28">
        <f>D28/E28</f>
        <v>0.75</v>
      </c>
      <c r="G28">
        <f t="shared" si="0"/>
        <v>1</v>
      </c>
    </row>
    <row r="29" spans="1:7" x14ac:dyDescent="0.25">
      <c r="A29">
        <v>3</v>
      </c>
      <c r="B29">
        <v>1</v>
      </c>
      <c r="C29" t="s">
        <v>10</v>
      </c>
      <c r="D29">
        <v>4</v>
      </c>
      <c r="E29">
        <v>4</v>
      </c>
      <c r="F29">
        <f>D29/E29</f>
        <v>1</v>
      </c>
      <c r="G29">
        <f t="shared" si="0"/>
        <v>0</v>
      </c>
    </row>
    <row r="30" spans="1:7" x14ac:dyDescent="0.25">
      <c r="A30">
        <v>4</v>
      </c>
      <c r="B30">
        <v>1</v>
      </c>
      <c r="C30" t="s">
        <v>10</v>
      </c>
      <c r="D30">
        <v>4</v>
      </c>
      <c r="E30">
        <v>5</v>
      </c>
      <c r="F30">
        <f>D30/E30</f>
        <v>0.8</v>
      </c>
      <c r="G30">
        <f t="shared" si="0"/>
        <v>1</v>
      </c>
    </row>
    <row r="31" spans="1:7" x14ac:dyDescent="0.25">
      <c r="A31">
        <v>5</v>
      </c>
      <c r="B31">
        <v>1</v>
      </c>
      <c r="C31" t="s">
        <v>10</v>
      </c>
      <c r="D31">
        <v>4</v>
      </c>
      <c r="E31">
        <v>5</v>
      </c>
      <c r="F31">
        <f>D31/E31</f>
        <v>0.8</v>
      </c>
      <c r="G31">
        <f t="shared" si="0"/>
        <v>1</v>
      </c>
    </row>
    <row r="32" spans="1:7" x14ac:dyDescent="0.25">
      <c r="A32">
        <v>1</v>
      </c>
      <c r="B32">
        <v>2</v>
      </c>
      <c r="C32" t="s">
        <v>5</v>
      </c>
      <c r="D32">
        <v>1</v>
      </c>
      <c r="E32">
        <v>4</v>
      </c>
      <c r="F32">
        <f>D32/E32</f>
        <v>0.25</v>
      </c>
      <c r="G32">
        <f t="shared" si="0"/>
        <v>3</v>
      </c>
    </row>
    <row r="33" spans="1:7" x14ac:dyDescent="0.25">
      <c r="A33">
        <v>2</v>
      </c>
      <c r="B33">
        <v>2</v>
      </c>
      <c r="C33" t="s">
        <v>5</v>
      </c>
      <c r="D33">
        <v>2</v>
      </c>
      <c r="E33">
        <v>5</v>
      </c>
      <c r="F33">
        <f>D33/E33</f>
        <v>0.4</v>
      </c>
      <c r="G33">
        <f t="shared" si="0"/>
        <v>3</v>
      </c>
    </row>
    <row r="34" spans="1:7" x14ac:dyDescent="0.25">
      <c r="A34">
        <v>3</v>
      </c>
      <c r="B34">
        <v>2</v>
      </c>
      <c r="C34" t="s">
        <v>5</v>
      </c>
      <c r="D34">
        <v>4</v>
      </c>
      <c r="E34" s="2">
        <v>8</v>
      </c>
      <c r="F34">
        <f>D34/E34</f>
        <v>0.5</v>
      </c>
      <c r="G34">
        <f t="shared" si="0"/>
        <v>4</v>
      </c>
    </row>
    <row r="35" spans="1:7" x14ac:dyDescent="0.25">
      <c r="A35">
        <v>4</v>
      </c>
      <c r="B35">
        <v>2</v>
      </c>
      <c r="C35" t="s">
        <v>5</v>
      </c>
      <c r="D35">
        <v>0</v>
      </c>
      <c r="E35">
        <v>5</v>
      </c>
      <c r="F35">
        <f>D35/E35</f>
        <v>0</v>
      </c>
      <c r="G35">
        <f t="shared" si="0"/>
        <v>5</v>
      </c>
    </row>
    <row r="36" spans="1:7" x14ac:dyDescent="0.25">
      <c r="A36">
        <v>5</v>
      </c>
      <c r="B36">
        <v>2</v>
      </c>
      <c r="C36" t="s">
        <v>5</v>
      </c>
      <c r="D36">
        <v>1</v>
      </c>
      <c r="E36">
        <v>3</v>
      </c>
      <c r="F36">
        <f>D36/E36</f>
        <v>0.33333333333333331</v>
      </c>
      <c r="G36">
        <f t="shared" si="0"/>
        <v>2</v>
      </c>
    </row>
    <row r="37" spans="1:7" x14ac:dyDescent="0.25">
      <c r="A37">
        <v>1</v>
      </c>
      <c r="B37">
        <v>2</v>
      </c>
      <c r="C37" t="s">
        <v>6</v>
      </c>
      <c r="D37">
        <v>1</v>
      </c>
      <c r="E37">
        <v>3</v>
      </c>
      <c r="F37">
        <f>D37/E37</f>
        <v>0.33333333333333331</v>
      </c>
      <c r="G37">
        <f t="shared" si="0"/>
        <v>2</v>
      </c>
    </row>
    <row r="38" spans="1:7" x14ac:dyDescent="0.25">
      <c r="A38">
        <v>2</v>
      </c>
      <c r="B38">
        <v>2</v>
      </c>
      <c r="C38" t="s">
        <v>6</v>
      </c>
      <c r="D38">
        <v>2</v>
      </c>
      <c r="E38">
        <v>4</v>
      </c>
      <c r="F38">
        <f>D38/E38</f>
        <v>0.5</v>
      </c>
      <c r="G38">
        <f t="shared" si="0"/>
        <v>2</v>
      </c>
    </row>
    <row r="39" spans="1:7" x14ac:dyDescent="0.25">
      <c r="A39">
        <v>4</v>
      </c>
      <c r="B39">
        <v>2</v>
      </c>
      <c r="C39" t="s">
        <v>6</v>
      </c>
      <c r="D39">
        <v>2</v>
      </c>
      <c r="E39">
        <v>4</v>
      </c>
      <c r="F39">
        <f>D39/E39</f>
        <v>0.5</v>
      </c>
      <c r="G39">
        <f t="shared" si="0"/>
        <v>2</v>
      </c>
    </row>
    <row r="40" spans="1:7" x14ac:dyDescent="0.25">
      <c r="A40">
        <v>5</v>
      </c>
      <c r="B40">
        <v>2</v>
      </c>
      <c r="C40" t="s">
        <v>6</v>
      </c>
      <c r="D40">
        <v>2</v>
      </c>
      <c r="E40">
        <v>3</v>
      </c>
      <c r="F40">
        <f>D40/E40</f>
        <v>0.66666666666666663</v>
      </c>
      <c r="G40">
        <f t="shared" si="0"/>
        <v>1</v>
      </c>
    </row>
    <row r="41" spans="1:7" x14ac:dyDescent="0.25">
      <c r="A41">
        <v>1</v>
      </c>
      <c r="B41">
        <v>2</v>
      </c>
      <c r="C41" t="s">
        <v>7</v>
      </c>
      <c r="D41">
        <v>1</v>
      </c>
      <c r="E41">
        <v>1</v>
      </c>
      <c r="F41">
        <f>D41/E41</f>
        <v>1</v>
      </c>
      <c r="G41">
        <f t="shared" si="0"/>
        <v>0</v>
      </c>
    </row>
    <row r="42" spans="1:7" x14ac:dyDescent="0.25">
      <c r="A42">
        <v>2</v>
      </c>
      <c r="B42">
        <v>2</v>
      </c>
      <c r="C42" s="2" t="s">
        <v>7</v>
      </c>
      <c r="D42" s="2">
        <v>2</v>
      </c>
      <c r="E42" s="2">
        <v>5</v>
      </c>
      <c r="F42">
        <f>D42/E42</f>
        <v>0.4</v>
      </c>
      <c r="G42">
        <f t="shared" si="0"/>
        <v>3</v>
      </c>
    </row>
    <row r="43" spans="1:7" x14ac:dyDescent="0.25">
      <c r="A43">
        <v>3</v>
      </c>
      <c r="B43">
        <v>2</v>
      </c>
      <c r="C43" t="s">
        <v>7</v>
      </c>
      <c r="D43">
        <v>1</v>
      </c>
      <c r="E43">
        <v>4</v>
      </c>
      <c r="F43">
        <f>D43/E43</f>
        <v>0.25</v>
      </c>
      <c r="G43">
        <f t="shared" si="0"/>
        <v>3</v>
      </c>
    </row>
    <row r="44" spans="1:7" x14ac:dyDescent="0.25">
      <c r="A44">
        <v>4</v>
      </c>
      <c r="B44">
        <v>2</v>
      </c>
      <c r="C44" t="s">
        <v>7</v>
      </c>
      <c r="D44">
        <v>2</v>
      </c>
      <c r="E44">
        <v>3</v>
      </c>
      <c r="F44">
        <f>D44/E44</f>
        <v>0.66666666666666663</v>
      </c>
      <c r="G44">
        <f t="shared" si="0"/>
        <v>1</v>
      </c>
    </row>
    <row r="45" spans="1:7" x14ac:dyDescent="0.25">
      <c r="A45">
        <v>5</v>
      </c>
      <c r="B45">
        <v>2</v>
      </c>
      <c r="C45" t="s">
        <v>7</v>
      </c>
      <c r="D45">
        <v>3</v>
      </c>
      <c r="E45" s="2">
        <v>6</v>
      </c>
      <c r="F45">
        <f>D45/E45</f>
        <v>0.5</v>
      </c>
      <c r="G45">
        <f t="shared" si="0"/>
        <v>3</v>
      </c>
    </row>
    <row r="46" spans="1:7" x14ac:dyDescent="0.25">
      <c r="A46">
        <v>1</v>
      </c>
      <c r="B46">
        <v>2</v>
      </c>
      <c r="C46" t="s">
        <v>8</v>
      </c>
      <c r="D46">
        <v>1</v>
      </c>
      <c r="E46">
        <v>1</v>
      </c>
      <c r="F46">
        <f>D46/E46</f>
        <v>1</v>
      </c>
      <c r="G46">
        <f t="shared" si="0"/>
        <v>0</v>
      </c>
    </row>
    <row r="47" spans="1:7" x14ac:dyDescent="0.25">
      <c r="A47">
        <v>2</v>
      </c>
      <c r="B47">
        <v>2</v>
      </c>
      <c r="C47" t="s">
        <v>8</v>
      </c>
      <c r="D47">
        <v>4</v>
      </c>
      <c r="E47">
        <v>5</v>
      </c>
      <c r="F47">
        <f>D47/E47</f>
        <v>0.8</v>
      </c>
      <c r="G47">
        <f t="shared" si="0"/>
        <v>1</v>
      </c>
    </row>
    <row r="48" spans="1:7" x14ac:dyDescent="0.25">
      <c r="A48">
        <v>3</v>
      </c>
      <c r="B48">
        <v>2</v>
      </c>
      <c r="C48" t="s">
        <v>8</v>
      </c>
      <c r="D48">
        <v>1</v>
      </c>
      <c r="E48">
        <v>2</v>
      </c>
      <c r="F48">
        <f>D48/E48</f>
        <v>0.5</v>
      </c>
      <c r="G48">
        <f t="shared" si="0"/>
        <v>1</v>
      </c>
    </row>
    <row r="49" spans="1:7" x14ac:dyDescent="0.25">
      <c r="A49">
        <v>4</v>
      </c>
      <c r="B49">
        <v>2</v>
      </c>
      <c r="C49" t="s">
        <v>8</v>
      </c>
      <c r="D49">
        <v>4</v>
      </c>
      <c r="E49" s="2">
        <v>6</v>
      </c>
      <c r="F49">
        <f>D49/E49</f>
        <v>0.66666666666666663</v>
      </c>
      <c r="G49">
        <f t="shared" si="0"/>
        <v>2</v>
      </c>
    </row>
    <row r="50" spans="1:7" x14ac:dyDescent="0.25">
      <c r="A50">
        <v>5</v>
      </c>
      <c r="B50">
        <v>2</v>
      </c>
      <c r="C50" t="s">
        <v>8</v>
      </c>
      <c r="D50">
        <v>2</v>
      </c>
      <c r="E50">
        <v>3</v>
      </c>
      <c r="F50">
        <f>D50/E50</f>
        <v>0.66666666666666663</v>
      </c>
      <c r="G50">
        <f t="shared" si="0"/>
        <v>1</v>
      </c>
    </row>
    <row r="51" spans="1:7" x14ac:dyDescent="0.25">
      <c r="A51">
        <v>1</v>
      </c>
      <c r="B51">
        <v>2</v>
      </c>
      <c r="C51" t="s">
        <v>9</v>
      </c>
      <c r="D51">
        <v>4</v>
      </c>
      <c r="E51">
        <v>4</v>
      </c>
      <c r="F51">
        <f>D51/E51</f>
        <v>1</v>
      </c>
      <c r="G51">
        <f t="shared" si="0"/>
        <v>0</v>
      </c>
    </row>
    <row r="52" spans="1:7" x14ac:dyDescent="0.25">
      <c r="A52">
        <v>2</v>
      </c>
      <c r="B52">
        <v>2</v>
      </c>
      <c r="C52" t="s">
        <v>9</v>
      </c>
      <c r="D52">
        <v>4</v>
      </c>
      <c r="E52">
        <v>4</v>
      </c>
      <c r="F52">
        <f>D52/E52</f>
        <v>1</v>
      </c>
      <c r="G52">
        <f t="shared" si="0"/>
        <v>0</v>
      </c>
    </row>
    <row r="53" spans="1:7" x14ac:dyDescent="0.25">
      <c r="A53">
        <v>3</v>
      </c>
      <c r="B53">
        <v>2</v>
      </c>
      <c r="C53" t="s">
        <v>9</v>
      </c>
      <c r="D53">
        <v>4</v>
      </c>
      <c r="E53">
        <v>4</v>
      </c>
      <c r="F53">
        <f>D53/E53</f>
        <v>1</v>
      </c>
      <c r="G53">
        <f t="shared" si="0"/>
        <v>0</v>
      </c>
    </row>
    <row r="54" spans="1:7" x14ac:dyDescent="0.25">
      <c r="A54">
        <v>4</v>
      </c>
      <c r="B54">
        <v>2</v>
      </c>
      <c r="C54" t="s">
        <v>9</v>
      </c>
      <c r="D54">
        <v>4</v>
      </c>
      <c r="E54">
        <v>4</v>
      </c>
      <c r="F54">
        <f>D54/E54</f>
        <v>1</v>
      </c>
      <c r="G54">
        <f t="shared" si="0"/>
        <v>0</v>
      </c>
    </row>
    <row r="55" spans="1:7" x14ac:dyDescent="0.25">
      <c r="A55">
        <v>5</v>
      </c>
      <c r="B55">
        <v>2</v>
      </c>
      <c r="C55" t="s">
        <v>9</v>
      </c>
      <c r="D55">
        <v>3</v>
      </c>
      <c r="E55">
        <v>4</v>
      </c>
      <c r="F55">
        <f>D55/E55</f>
        <v>0.75</v>
      </c>
      <c r="G55">
        <f t="shared" si="0"/>
        <v>1</v>
      </c>
    </row>
    <row r="56" spans="1:7" x14ac:dyDescent="0.25">
      <c r="A56">
        <v>1</v>
      </c>
      <c r="B56">
        <v>2</v>
      </c>
      <c r="C56" t="s">
        <v>10</v>
      </c>
      <c r="D56">
        <v>3</v>
      </c>
      <c r="E56">
        <v>3</v>
      </c>
      <c r="F56">
        <f>D56/E56</f>
        <v>1</v>
      </c>
      <c r="G56">
        <f t="shared" si="0"/>
        <v>0</v>
      </c>
    </row>
    <row r="57" spans="1:7" x14ac:dyDescent="0.25">
      <c r="A57">
        <v>2</v>
      </c>
      <c r="B57">
        <v>2</v>
      </c>
      <c r="C57" t="s">
        <v>10</v>
      </c>
      <c r="D57">
        <v>3</v>
      </c>
      <c r="E57">
        <v>4</v>
      </c>
      <c r="F57">
        <f>D57/E57</f>
        <v>0.75</v>
      </c>
      <c r="G57">
        <f t="shared" si="0"/>
        <v>1</v>
      </c>
    </row>
    <row r="58" spans="1:7" x14ac:dyDescent="0.25">
      <c r="A58">
        <v>3</v>
      </c>
      <c r="B58">
        <v>2</v>
      </c>
      <c r="C58" t="s">
        <v>10</v>
      </c>
      <c r="D58">
        <v>3</v>
      </c>
      <c r="E58">
        <v>4</v>
      </c>
      <c r="F58">
        <f>D58/E58</f>
        <v>0.75</v>
      </c>
      <c r="G58">
        <f t="shared" si="0"/>
        <v>1</v>
      </c>
    </row>
    <row r="59" spans="1:7" x14ac:dyDescent="0.25">
      <c r="A59">
        <v>4</v>
      </c>
      <c r="B59">
        <v>2</v>
      </c>
      <c r="C59" t="s">
        <v>10</v>
      </c>
      <c r="D59">
        <v>4</v>
      </c>
      <c r="E59">
        <v>5</v>
      </c>
      <c r="F59">
        <f>D59/E59</f>
        <v>0.8</v>
      </c>
      <c r="G59">
        <f t="shared" si="0"/>
        <v>1</v>
      </c>
    </row>
    <row r="60" spans="1:7" x14ac:dyDescent="0.25">
      <c r="A60">
        <v>5</v>
      </c>
      <c r="B60">
        <v>2</v>
      </c>
      <c r="C60" t="s">
        <v>10</v>
      </c>
      <c r="D60">
        <v>4</v>
      </c>
      <c r="E60">
        <v>5</v>
      </c>
      <c r="F60">
        <f>D60/E60</f>
        <v>0.8</v>
      </c>
      <c r="G60">
        <f t="shared" si="0"/>
        <v>1</v>
      </c>
    </row>
    <row r="61" spans="1:7" x14ac:dyDescent="0.25">
      <c r="A61">
        <v>1</v>
      </c>
      <c r="B61">
        <v>3</v>
      </c>
      <c r="C61" t="s">
        <v>5</v>
      </c>
      <c r="D61">
        <v>1</v>
      </c>
      <c r="E61">
        <v>4</v>
      </c>
      <c r="F61">
        <f>D61/E61</f>
        <v>0.25</v>
      </c>
      <c r="G61">
        <f t="shared" si="0"/>
        <v>3</v>
      </c>
    </row>
    <row r="62" spans="1:7" x14ac:dyDescent="0.25">
      <c r="A62">
        <v>2</v>
      </c>
      <c r="B62">
        <v>3</v>
      </c>
      <c r="C62" t="s">
        <v>5</v>
      </c>
      <c r="D62">
        <v>2</v>
      </c>
      <c r="E62" s="2">
        <v>8</v>
      </c>
      <c r="F62">
        <f>D62/E62</f>
        <v>0.25</v>
      </c>
      <c r="G62">
        <f t="shared" si="0"/>
        <v>6</v>
      </c>
    </row>
    <row r="63" spans="1:7" x14ac:dyDescent="0.25">
      <c r="A63">
        <v>3</v>
      </c>
      <c r="B63">
        <v>3</v>
      </c>
      <c r="C63" t="s">
        <v>5</v>
      </c>
      <c r="D63">
        <v>0</v>
      </c>
      <c r="E63">
        <v>5</v>
      </c>
      <c r="F63">
        <f>D63/E63</f>
        <v>0</v>
      </c>
      <c r="G63">
        <f t="shared" si="0"/>
        <v>5</v>
      </c>
    </row>
    <row r="64" spans="1:7" x14ac:dyDescent="0.25">
      <c r="A64">
        <v>4</v>
      </c>
      <c r="B64">
        <v>3</v>
      </c>
      <c r="C64" t="s">
        <v>5</v>
      </c>
      <c r="D64">
        <v>1</v>
      </c>
      <c r="E64">
        <v>4</v>
      </c>
      <c r="F64">
        <f>D64/E64</f>
        <v>0.25</v>
      </c>
      <c r="G64">
        <f t="shared" si="0"/>
        <v>3</v>
      </c>
    </row>
    <row r="65" spans="1:7" x14ac:dyDescent="0.25">
      <c r="A65">
        <v>5</v>
      </c>
      <c r="B65">
        <v>3</v>
      </c>
      <c r="C65" t="s">
        <v>5</v>
      </c>
      <c r="D65">
        <v>2</v>
      </c>
      <c r="E65" s="2">
        <v>8</v>
      </c>
      <c r="F65">
        <f>D65/E65</f>
        <v>0.25</v>
      </c>
      <c r="G65">
        <f t="shared" si="0"/>
        <v>6</v>
      </c>
    </row>
    <row r="66" spans="1:7" x14ac:dyDescent="0.25">
      <c r="A66">
        <v>1</v>
      </c>
      <c r="B66">
        <v>3</v>
      </c>
      <c r="C66" t="s">
        <v>6</v>
      </c>
      <c r="D66">
        <v>2</v>
      </c>
      <c r="E66">
        <v>3</v>
      </c>
      <c r="F66">
        <f>D66/E66</f>
        <v>0.66666666666666663</v>
      </c>
      <c r="G66">
        <f t="shared" si="0"/>
        <v>1</v>
      </c>
    </row>
    <row r="67" spans="1:7" x14ac:dyDescent="0.25">
      <c r="A67">
        <v>2</v>
      </c>
      <c r="B67">
        <v>3</v>
      </c>
      <c r="C67" t="s">
        <v>6</v>
      </c>
      <c r="D67">
        <v>1</v>
      </c>
      <c r="E67">
        <v>2</v>
      </c>
      <c r="F67">
        <f>D67/E67</f>
        <v>0.5</v>
      </c>
      <c r="G67">
        <f t="shared" ref="G67:G120" si="1">E67-D67</f>
        <v>1</v>
      </c>
    </row>
    <row r="68" spans="1:7" x14ac:dyDescent="0.25">
      <c r="A68">
        <v>3</v>
      </c>
      <c r="B68">
        <v>3</v>
      </c>
      <c r="C68" t="s">
        <v>6</v>
      </c>
      <c r="D68">
        <v>5</v>
      </c>
      <c r="E68">
        <v>5</v>
      </c>
      <c r="F68">
        <f>D68/E68</f>
        <v>1</v>
      </c>
      <c r="G68">
        <f t="shared" si="1"/>
        <v>0</v>
      </c>
    </row>
    <row r="69" spans="1:7" x14ac:dyDescent="0.25">
      <c r="A69">
        <v>4</v>
      </c>
      <c r="B69">
        <v>3</v>
      </c>
      <c r="C69" t="s">
        <v>6</v>
      </c>
      <c r="D69">
        <v>2</v>
      </c>
      <c r="E69">
        <v>3</v>
      </c>
      <c r="F69">
        <f>D69/E69</f>
        <v>0.66666666666666663</v>
      </c>
      <c r="G69">
        <f t="shared" si="1"/>
        <v>1</v>
      </c>
    </row>
    <row r="70" spans="1:7" x14ac:dyDescent="0.25">
      <c r="A70">
        <v>5</v>
      </c>
      <c r="B70">
        <v>3</v>
      </c>
      <c r="C70" t="s">
        <v>6</v>
      </c>
      <c r="D70">
        <v>2</v>
      </c>
      <c r="E70">
        <v>4</v>
      </c>
      <c r="F70">
        <f>D70/E70</f>
        <v>0.5</v>
      </c>
      <c r="G70">
        <f t="shared" si="1"/>
        <v>2</v>
      </c>
    </row>
    <row r="71" spans="1:7" x14ac:dyDescent="0.25">
      <c r="A71">
        <v>1</v>
      </c>
      <c r="B71">
        <v>3</v>
      </c>
      <c r="C71" t="s">
        <v>7</v>
      </c>
      <c r="D71">
        <v>1</v>
      </c>
      <c r="E71">
        <v>3</v>
      </c>
      <c r="F71">
        <f>D71/E71</f>
        <v>0.33333333333333331</v>
      </c>
      <c r="G71">
        <f t="shared" si="1"/>
        <v>2</v>
      </c>
    </row>
    <row r="72" spans="1:7" x14ac:dyDescent="0.25">
      <c r="A72">
        <v>2</v>
      </c>
      <c r="B72">
        <v>3</v>
      </c>
      <c r="C72" t="s">
        <v>7</v>
      </c>
      <c r="D72">
        <v>2</v>
      </c>
      <c r="E72">
        <v>4</v>
      </c>
      <c r="F72">
        <f>D72/E72</f>
        <v>0.5</v>
      </c>
      <c r="G72">
        <f t="shared" si="1"/>
        <v>2</v>
      </c>
    </row>
    <row r="73" spans="1:7" x14ac:dyDescent="0.25">
      <c r="A73">
        <v>3</v>
      </c>
      <c r="B73">
        <v>3</v>
      </c>
      <c r="C73" t="s">
        <v>7</v>
      </c>
      <c r="D73">
        <v>1</v>
      </c>
      <c r="E73">
        <v>2</v>
      </c>
      <c r="F73">
        <f>D73/E73</f>
        <v>0.5</v>
      </c>
      <c r="G73">
        <f t="shared" si="1"/>
        <v>1</v>
      </c>
    </row>
    <row r="74" spans="1:7" x14ac:dyDescent="0.25">
      <c r="A74">
        <v>4</v>
      </c>
      <c r="B74">
        <v>3</v>
      </c>
      <c r="C74" t="s">
        <v>7</v>
      </c>
      <c r="D74">
        <v>2</v>
      </c>
      <c r="E74">
        <v>3</v>
      </c>
      <c r="F74">
        <f>D74/E74</f>
        <v>0.66666666666666663</v>
      </c>
      <c r="G74">
        <f t="shared" si="1"/>
        <v>1</v>
      </c>
    </row>
    <row r="75" spans="1:7" x14ac:dyDescent="0.25">
      <c r="A75">
        <v>5</v>
      </c>
      <c r="B75">
        <v>3</v>
      </c>
      <c r="C75" t="s">
        <v>7</v>
      </c>
      <c r="D75">
        <v>2</v>
      </c>
      <c r="E75" s="2">
        <v>6</v>
      </c>
      <c r="F75">
        <f>D75/E75</f>
        <v>0.33333333333333331</v>
      </c>
      <c r="G75">
        <f t="shared" si="1"/>
        <v>4</v>
      </c>
    </row>
    <row r="76" spans="1:7" x14ac:dyDescent="0.25">
      <c r="A76">
        <v>1</v>
      </c>
      <c r="B76">
        <v>3</v>
      </c>
      <c r="C76" t="s">
        <v>8</v>
      </c>
      <c r="D76">
        <v>2</v>
      </c>
      <c r="E76">
        <v>2</v>
      </c>
      <c r="F76">
        <f>D76/E76</f>
        <v>1</v>
      </c>
      <c r="G76">
        <f t="shared" si="1"/>
        <v>0</v>
      </c>
    </row>
    <row r="77" spans="1:7" x14ac:dyDescent="0.25">
      <c r="A77">
        <v>2</v>
      </c>
      <c r="B77">
        <v>3</v>
      </c>
      <c r="C77" t="s">
        <v>8</v>
      </c>
      <c r="D77">
        <v>3</v>
      </c>
      <c r="E77">
        <v>5</v>
      </c>
      <c r="F77">
        <f>D77/E77</f>
        <v>0.6</v>
      </c>
      <c r="G77">
        <f t="shared" si="1"/>
        <v>2</v>
      </c>
    </row>
    <row r="78" spans="1:7" x14ac:dyDescent="0.25">
      <c r="A78">
        <v>3</v>
      </c>
      <c r="B78">
        <v>3</v>
      </c>
      <c r="C78" t="s">
        <v>8</v>
      </c>
      <c r="D78">
        <v>2</v>
      </c>
      <c r="E78">
        <v>3</v>
      </c>
      <c r="F78">
        <f>D78/E78</f>
        <v>0.66666666666666663</v>
      </c>
      <c r="G78">
        <f t="shared" si="1"/>
        <v>1</v>
      </c>
    </row>
    <row r="79" spans="1:7" x14ac:dyDescent="0.25">
      <c r="A79">
        <v>4</v>
      </c>
      <c r="B79">
        <v>3</v>
      </c>
      <c r="C79" t="s">
        <v>8</v>
      </c>
      <c r="D79">
        <v>3</v>
      </c>
      <c r="E79">
        <v>3</v>
      </c>
      <c r="F79">
        <f>D79/E79</f>
        <v>1</v>
      </c>
      <c r="G79">
        <f t="shared" si="1"/>
        <v>0</v>
      </c>
    </row>
    <row r="80" spans="1:7" x14ac:dyDescent="0.25">
      <c r="A80">
        <v>5</v>
      </c>
      <c r="B80">
        <v>3</v>
      </c>
      <c r="C80" t="s">
        <v>8</v>
      </c>
      <c r="D80">
        <v>2</v>
      </c>
      <c r="E80">
        <v>3</v>
      </c>
      <c r="F80">
        <f>D80/E80</f>
        <v>0.66666666666666663</v>
      </c>
      <c r="G80">
        <f t="shared" si="1"/>
        <v>1</v>
      </c>
    </row>
    <row r="81" spans="1:7" x14ac:dyDescent="0.25">
      <c r="A81">
        <v>1</v>
      </c>
      <c r="B81">
        <v>3</v>
      </c>
      <c r="C81" t="s">
        <v>9</v>
      </c>
      <c r="D81">
        <v>3</v>
      </c>
      <c r="E81">
        <v>4</v>
      </c>
      <c r="F81">
        <f>D81/E81</f>
        <v>0.75</v>
      </c>
      <c r="G81">
        <f t="shared" si="1"/>
        <v>1</v>
      </c>
    </row>
    <row r="82" spans="1:7" x14ac:dyDescent="0.25">
      <c r="A82">
        <v>2</v>
      </c>
      <c r="B82">
        <v>3</v>
      </c>
      <c r="C82" t="s">
        <v>9</v>
      </c>
      <c r="D82">
        <v>3</v>
      </c>
      <c r="E82">
        <v>4</v>
      </c>
      <c r="F82">
        <f>D82/E82</f>
        <v>0.75</v>
      </c>
      <c r="G82">
        <f t="shared" si="1"/>
        <v>1</v>
      </c>
    </row>
    <row r="83" spans="1:7" x14ac:dyDescent="0.25">
      <c r="A83">
        <v>3</v>
      </c>
      <c r="B83">
        <v>3</v>
      </c>
      <c r="C83" t="s">
        <v>9</v>
      </c>
      <c r="D83">
        <v>3</v>
      </c>
      <c r="E83">
        <v>4</v>
      </c>
      <c r="F83">
        <f>D83/E83</f>
        <v>0.75</v>
      </c>
      <c r="G83">
        <f t="shared" si="1"/>
        <v>1</v>
      </c>
    </row>
    <row r="84" spans="1:7" x14ac:dyDescent="0.25">
      <c r="A84">
        <v>4</v>
      </c>
      <c r="B84">
        <v>3</v>
      </c>
      <c r="C84" t="s">
        <v>9</v>
      </c>
      <c r="D84">
        <v>4</v>
      </c>
      <c r="E84">
        <v>4</v>
      </c>
      <c r="F84">
        <f>D84/E84</f>
        <v>1</v>
      </c>
      <c r="G84">
        <f t="shared" si="1"/>
        <v>0</v>
      </c>
    </row>
    <row r="85" spans="1:7" x14ac:dyDescent="0.25">
      <c r="A85">
        <v>5</v>
      </c>
      <c r="B85">
        <v>3</v>
      </c>
      <c r="C85" t="s">
        <v>9</v>
      </c>
      <c r="D85">
        <v>3</v>
      </c>
      <c r="E85">
        <v>4</v>
      </c>
      <c r="F85">
        <f>D85/E85</f>
        <v>0.75</v>
      </c>
      <c r="G85">
        <f t="shared" si="1"/>
        <v>1</v>
      </c>
    </row>
    <row r="86" spans="1:7" x14ac:dyDescent="0.25">
      <c r="A86">
        <v>1</v>
      </c>
      <c r="B86">
        <v>3</v>
      </c>
      <c r="C86" t="s">
        <v>10</v>
      </c>
      <c r="D86">
        <v>3</v>
      </c>
      <c r="E86">
        <v>3</v>
      </c>
      <c r="F86">
        <f>D86/E86</f>
        <v>1</v>
      </c>
      <c r="G86">
        <f t="shared" si="1"/>
        <v>0</v>
      </c>
    </row>
    <row r="87" spans="1:7" x14ac:dyDescent="0.25">
      <c r="A87">
        <v>2</v>
      </c>
      <c r="B87">
        <v>3</v>
      </c>
      <c r="C87" t="s">
        <v>10</v>
      </c>
      <c r="D87">
        <v>4</v>
      </c>
      <c r="E87">
        <v>4</v>
      </c>
      <c r="F87">
        <f>D87/E87</f>
        <v>1</v>
      </c>
      <c r="G87">
        <f t="shared" si="1"/>
        <v>0</v>
      </c>
    </row>
    <row r="88" spans="1:7" x14ac:dyDescent="0.25">
      <c r="A88">
        <v>3</v>
      </c>
      <c r="B88">
        <v>3</v>
      </c>
      <c r="C88" t="s">
        <v>10</v>
      </c>
      <c r="D88">
        <v>3</v>
      </c>
      <c r="E88">
        <v>4</v>
      </c>
      <c r="F88">
        <f>D88/E88</f>
        <v>0.75</v>
      </c>
      <c r="G88">
        <f t="shared" si="1"/>
        <v>1</v>
      </c>
    </row>
    <row r="89" spans="1:7" x14ac:dyDescent="0.25">
      <c r="A89">
        <v>4</v>
      </c>
      <c r="B89">
        <v>3</v>
      </c>
      <c r="C89" t="s">
        <v>10</v>
      </c>
      <c r="D89">
        <v>4</v>
      </c>
      <c r="E89">
        <v>5</v>
      </c>
      <c r="F89">
        <f>D89/E89</f>
        <v>0.8</v>
      </c>
      <c r="G89">
        <f t="shared" si="1"/>
        <v>1</v>
      </c>
    </row>
    <row r="90" spans="1:7" x14ac:dyDescent="0.25">
      <c r="A90">
        <v>5</v>
      </c>
      <c r="B90">
        <v>3</v>
      </c>
      <c r="C90" t="s">
        <v>10</v>
      </c>
      <c r="D90">
        <v>4</v>
      </c>
      <c r="E90">
        <v>5</v>
      </c>
      <c r="F90">
        <f>D90/E90</f>
        <v>0.8</v>
      </c>
      <c r="G90">
        <f t="shared" si="1"/>
        <v>1</v>
      </c>
    </row>
    <row r="91" spans="1:7" x14ac:dyDescent="0.25">
      <c r="A91">
        <v>1</v>
      </c>
      <c r="B91">
        <v>4</v>
      </c>
      <c r="C91" t="s">
        <v>5</v>
      </c>
      <c r="D91">
        <v>1</v>
      </c>
      <c r="E91">
        <v>5</v>
      </c>
      <c r="F91">
        <f>D91/E91</f>
        <v>0.2</v>
      </c>
      <c r="G91">
        <f t="shared" si="1"/>
        <v>4</v>
      </c>
    </row>
    <row r="92" spans="1:7" x14ac:dyDescent="0.25">
      <c r="A92">
        <v>2</v>
      </c>
      <c r="B92">
        <v>4</v>
      </c>
      <c r="C92" t="s">
        <v>5</v>
      </c>
      <c r="D92">
        <v>1</v>
      </c>
      <c r="E92">
        <v>4</v>
      </c>
      <c r="F92">
        <f>D92/E92</f>
        <v>0.25</v>
      </c>
      <c r="G92">
        <f t="shared" si="1"/>
        <v>3</v>
      </c>
    </row>
    <row r="93" spans="1:7" x14ac:dyDescent="0.25">
      <c r="A93">
        <v>3</v>
      </c>
      <c r="B93">
        <v>4</v>
      </c>
      <c r="C93" t="s">
        <v>5</v>
      </c>
      <c r="D93">
        <v>3</v>
      </c>
      <c r="E93" s="2">
        <v>9</v>
      </c>
      <c r="F93">
        <f>D93/E93</f>
        <v>0.33333333333333331</v>
      </c>
      <c r="G93">
        <f t="shared" si="1"/>
        <v>6</v>
      </c>
    </row>
    <row r="94" spans="1:7" x14ac:dyDescent="0.25">
      <c r="A94">
        <v>4</v>
      </c>
      <c r="B94">
        <v>4</v>
      </c>
      <c r="C94" t="s">
        <v>5</v>
      </c>
      <c r="D94">
        <v>2</v>
      </c>
      <c r="E94" s="2">
        <v>8</v>
      </c>
      <c r="F94">
        <f>D94/E94</f>
        <v>0.25</v>
      </c>
      <c r="G94">
        <f t="shared" si="1"/>
        <v>6</v>
      </c>
    </row>
    <row r="95" spans="1:7" x14ac:dyDescent="0.25">
      <c r="A95">
        <v>5</v>
      </c>
      <c r="B95">
        <v>4</v>
      </c>
      <c r="C95" t="s">
        <v>5</v>
      </c>
      <c r="D95">
        <v>2</v>
      </c>
      <c r="E95" s="2">
        <v>8</v>
      </c>
      <c r="F95">
        <f>D95/E95</f>
        <v>0.25</v>
      </c>
      <c r="G95">
        <f t="shared" si="1"/>
        <v>6</v>
      </c>
    </row>
    <row r="96" spans="1:7" x14ac:dyDescent="0.25">
      <c r="A96">
        <v>1</v>
      </c>
      <c r="B96">
        <v>4</v>
      </c>
      <c r="C96" s="2" t="s">
        <v>6</v>
      </c>
      <c r="D96" s="2">
        <v>3</v>
      </c>
      <c r="E96" s="2">
        <v>9</v>
      </c>
      <c r="F96">
        <f>D96/E96</f>
        <v>0.33333333333333331</v>
      </c>
      <c r="G96">
        <f t="shared" si="1"/>
        <v>6</v>
      </c>
    </row>
    <row r="97" spans="1:7" x14ac:dyDescent="0.25">
      <c r="A97">
        <v>2</v>
      </c>
      <c r="B97">
        <v>4</v>
      </c>
      <c r="C97" t="s">
        <v>6</v>
      </c>
      <c r="D97">
        <v>2</v>
      </c>
      <c r="E97">
        <v>3</v>
      </c>
      <c r="F97">
        <f>D97/E97</f>
        <v>0.66666666666666663</v>
      </c>
      <c r="G97">
        <f t="shared" si="1"/>
        <v>1</v>
      </c>
    </row>
    <row r="98" spans="1:7" x14ac:dyDescent="0.25">
      <c r="A98">
        <v>3</v>
      </c>
      <c r="B98">
        <v>4</v>
      </c>
      <c r="C98" s="2" t="s">
        <v>6</v>
      </c>
      <c r="D98" s="2">
        <v>3</v>
      </c>
      <c r="E98" s="2">
        <v>6</v>
      </c>
      <c r="F98">
        <f>D98/E98</f>
        <v>0.5</v>
      </c>
      <c r="G98">
        <f t="shared" si="1"/>
        <v>3</v>
      </c>
    </row>
    <row r="99" spans="1:7" x14ac:dyDescent="0.25">
      <c r="A99">
        <v>4</v>
      </c>
      <c r="B99">
        <v>4</v>
      </c>
      <c r="C99" t="s">
        <v>6</v>
      </c>
      <c r="D99">
        <v>2</v>
      </c>
      <c r="E99">
        <v>6</v>
      </c>
      <c r="F99">
        <f>D99/E99</f>
        <v>0.33333333333333331</v>
      </c>
      <c r="G99">
        <f t="shared" si="1"/>
        <v>4</v>
      </c>
    </row>
    <row r="100" spans="1:7" x14ac:dyDescent="0.25">
      <c r="A100">
        <v>5</v>
      </c>
      <c r="B100">
        <v>4</v>
      </c>
      <c r="C100" s="2" t="s">
        <v>6</v>
      </c>
      <c r="D100" s="2">
        <v>5</v>
      </c>
      <c r="E100" s="2">
        <v>9</v>
      </c>
      <c r="F100">
        <f>D100/E100</f>
        <v>0.55555555555555558</v>
      </c>
      <c r="G100">
        <f t="shared" si="1"/>
        <v>4</v>
      </c>
    </row>
    <row r="101" spans="1:7" x14ac:dyDescent="0.25">
      <c r="A101">
        <v>1</v>
      </c>
      <c r="B101">
        <v>4</v>
      </c>
      <c r="C101" t="s">
        <v>7</v>
      </c>
      <c r="D101">
        <v>1</v>
      </c>
      <c r="E101">
        <v>1</v>
      </c>
      <c r="F101">
        <f>D101/E101</f>
        <v>1</v>
      </c>
      <c r="G101">
        <f t="shared" si="1"/>
        <v>0</v>
      </c>
    </row>
    <row r="102" spans="1:7" x14ac:dyDescent="0.25">
      <c r="A102">
        <v>2</v>
      </c>
      <c r="B102">
        <v>4</v>
      </c>
      <c r="C102" t="s">
        <v>7</v>
      </c>
      <c r="D102">
        <v>1</v>
      </c>
      <c r="E102">
        <v>3</v>
      </c>
      <c r="F102">
        <f>D102/E102</f>
        <v>0.33333333333333331</v>
      </c>
      <c r="G102">
        <f t="shared" si="1"/>
        <v>2</v>
      </c>
    </row>
    <row r="103" spans="1:7" x14ac:dyDescent="0.25">
      <c r="A103">
        <v>3</v>
      </c>
      <c r="B103">
        <v>4</v>
      </c>
      <c r="C103" t="s">
        <v>7</v>
      </c>
      <c r="D103">
        <v>2</v>
      </c>
      <c r="E103">
        <v>4</v>
      </c>
      <c r="F103">
        <f>D103/E103</f>
        <v>0.5</v>
      </c>
      <c r="G103">
        <f t="shared" si="1"/>
        <v>2</v>
      </c>
    </row>
    <row r="104" spans="1:7" x14ac:dyDescent="0.25">
      <c r="A104">
        <v>4</v>
      </c>
      <c r="B104">
        <v>4</v>
      </c>
      <c r="C104" t="s">
        <v>7</v>
      </c>
      <c r="D104">
        <v>2</v>
      </c>
      <c r="E104">
        <v>4</v>
      </c>
      <c r="F104">
        <f>D104/E104</f>
        <v>0.5</v>
      </c>
      <c r="G104">
        <f t="shared" si="1"/>
        <v>2</v>
      </c>
    </row>
    <row r="105" spans="1:7" x14ac:dyDescent="0.25">
      <c r="A105">
        <v>5</v>
      </c>
      <c r="B105">
        <v>4</v>
      </c>
      <c r="C105" t="s">
        <v>7</v>
      </c>
      <c r="D105">
        <v>3</v>
      </c>
      <c r="E105" s="2">
        <v>6</v>
      </c>
      <c r="F105">
        <f>D105/E105</f>
        <v>0.5</v>
      </c>
      <c r="G105">
        <f t="shared" si="1"/>
        <v>3</v>
      </c>
    </row>
    <row r="106" spans="1:7" x14ac:dyDescent="0.25">
      <c r="A106">
        <v>1</v>
      </c>
      <c r="B106">
        <v>4</v>
      </c>
      <c r="C106" t="s">
        <v>8</v>
      </c>
      <c r="D106">
        <v>2</v>
      </c>
      <c r="E106">
        <v>3</v>
      </c>
      <c r="F106">
        <f>D106/E106</f>
        <v>0.66666666666666663</v>
      </c>
      <c r="G106">
        <f t="shared" si="1"/>
        <v>1</v>
      </c>
    </row>
    <row r="107" spans="1:7" x14ac:dyDescent="0.25">
      <c r="A107">
        <v>2</v>
      </c>
      <c r="B107">
        <v>4</v>
      </c>
      <c r="C107" t="s">
        <v>8</v>
      </c>
      <c r="D107">
        <v>2</v>
      </c>
      <c r="E107">
        <v>3</v>
      </c>
      <c r="F107">
        <f>D107/E107</f>
        <v>0.66666666666666663</v>
      </c>
      <c r="G107">
        <f t="shared" si="1"/>
        <v>1</v>
      </c>
    </row>
    <row r="108" spans="1:7" x14ac:dyDescent="0.25">
      <c r="A108">
        <v>3</v>
      </c>
      <c r="B108">
        <v>4</v>
      </c>
      <c r="C108" t="s">
        <v>8</v>
      </c>
      <c r="D108">
        <v>3</v>
      </c>
      <c r="E108">
        <v>4</v>
      </c>
      <c r="F108">
        <f>D108/E108</f>
        <v>0.75</v>
      </c>
      <c r="G108">
        <f t="shared" si="1"/>
        <v>1</v>
      </c>
    </row>
    <row r="109" spans="1:7" x14ac:dyDescent="0.25">
      <c r="A109">
        <v>4</v>
      </c>
      <c r="B109">
        <v>4</v>
      </c>
      <c r="C109" t="s">
        <v>8</v>
      </c>
      <c r="D109">
        <v>2</v>
      </c>
      <c r="E109">
        <v>3</v>
      </c>
      <c r="F109">
        <f>D109/E109</f>
        <v>0.66666666666666663</v>
      </c>
      <c r="G109">
        <f t="shared" si="1"/>
        <v>1</v>
      </c>
    </row>
    <row r="110" spans="1:7" x14ac:dyDescent="0.25">
      <c r="A110">
        <v>5</v>
      </c>
      <c r="B110">
        <v>4</v>
      </c>
      <c r="C110" t="s">
        <v>8</v>
      </c>
      <c r="D110">
        <v>3</v>
      </c>
      <c r="E110">
        <v>3</v>
      </c>
      <c r="F110">
        <f>D110/E110</f>
        <v>1</v>
      </c>
      <c r="G110">
        <f t="shared" si="1"/>
        <v>0</v>
      </c>
    </row>
    <row r="111" spans="1:7" x14ac:dyDescent="0.25">
      <c r="A111">
        <v>1</v>
      </c>
      <c r="B111">
        <v>4</v>
      </c>
      <c r="C111" t="s">
        <v>9</v>
      </c>
      <c r="D111">
        <v>4</v>
      </c>
      <c r="E111">
        <v>4</v>
      </c>
      <c r="F111">
        <f>D111/E111</f>
        <v>1</v>
      </c>
      <c r="G111">
        <f t="shared" si="1"/>
        <v>0</v>
      </c>
    </row>
    <row r="112" spans="1:7" x14ac:dyDescent="0.25">
      <c r="A112">
        <v>2</v>
      </c>
      <c r="B112">
        <v>4</v>
      </c>
      <c r="C112" t="s">
        <v>9</v>
      </c>
      <c r="D112">
        <v>3</v>
      </c>
      <c r="E112">
        <v>4</v>
      </c>
      <c r="F112">
        <f>D112/E112</f>
        <v>0.75</v>
      </c>
      <c r="G112">
        <f t="shared" si="1"/>
        <v>1</v>
      </c>
    </row>
    <row r="113" spans="1:7" x14ac:dyDescent="0.25">
      <c r="A113">
        <v>3</v>
      </c>
      <c r="B113">
        <v>4</v>
      </c>
      <c r="C113" t="s">
        <v>9</v>
      </c>
      <c r="D113">
        <v>4</v>
      </c>
      <c r="E113">
        <v>4</v>
      </c>
      <c r="F113">
        <f>D113/E113</f>
        <v>1</v>
      </c>
      <c r="G113">
        <f t="shared" si="1"/>
        <v>0</v>
      </c>
    </row>
    <row r="114" spans="1:7" x14ac:dyDescent="0.25">
      <c r="A114">
        <v>4</v>
      </c>
      <c r="B114">
        <v>4</v>
      </c>
      <c r="C114" t="s">
        <v>9</v>
      </c>
      <c r="D114">
        <v>3</v>
      </c>
      <c r="E114">
        <v>4</v>
      </c>
      <c r="F114">
        <f>D114/E114</f>
        <v>0.75</v>
      </c>
      <c r="G114">
        <f t="shared" si="1"/>
        <v>1</v>
      </c>
    </row>
    <row r="115" spans="1:7" x14ac:dyDescent="0.25">
      <c r="A115">
        <v>5</v>
      </c>
      <c r="B115">
        <v>4</v>
      </c>
      <c r="C115" t="s">
        <v>9</v>
      </c>
      <c r="D115">
        <v>3</v>
      </c>
      <c r="E115">
        <v>4</v>
      </c>
      <c r="F115">
        <f>D115/E115</f>
        <v>0.75</v>
      </c>
      <c r="G115">
        <f t="shared" si="1"/>
        <v>1</v>
      </c>
    </row>
    <row r="116" spans="1:7" x14ac:dyDescent="0.25">
      <c r="A116">
        <v>1</v>
      </c>
      <c r="B116">
        <v>4</v>
      </c>
      <c r="C116" t="s">
        <v>10</v>
      </c>
      <c r="D116">
        <v>3</v>
      </c>
      <c r="E116">
        <v>3</v>
      </c>
      <c r="F116">
        <f>D116/E116</f>
        <v>1</v>
      </c>
      <c r="G116">
        <f t="shared" si="1"/>
        <v>0</v>
      </c>
    </row>
    <row r="117" spans="1:7" x14ac:dyDescent="0.25">
      <c r="A117">
        <v>2</v>
      </c>
      <c r="B117">
        <v>4</v>
      </c>
      <c r="C117" t="s">
        <v>10</v>
      </c>
      <c r="D117">
        <v>2</v>
      </c>
      <c r="E117">
        <v>4</v>
      </c>
      <c r="F117">
        <f>D117/E117</f>
        <v>0.5</v>
      </c>
      <c r="G117">
        <f t="shared" si="1"/>
        <v>2</v>
      </c>
    </row>
    <row r="118" spans="1:7" x14ac:dyDescent="0.25">
      <c r="A118">
        <v>3</v>
      </c>
      <c r="B118">
        <v>4</v>
      </c>
      <c r="C118" t="s">
        <v>10</v>
      </c>
      <c r="D118">
        <v>4</v>
      </c>
      <c r="E118">
        <v>4</v>
      </c>
      <c r="F118">
        <f>D118/E118</f>
        <v>1</v>
      </c>
      <c r="G118">
        <f t="shared" si="1"/>
        <v>0</v>
      </c>
    </row>
    <row r="119" spans="1:7" x14ac:dyDescent="0.25">
      <c r="A119">
        <v>4</v>
      </c>
      <c r="B119">
        <v>4</v>
      </c>
      <c r="C119" t="s">
        <v>10</v>
      </c>
      <c r="D119">
        <v>4</v>
      </c>
      <c r="E119">
        <v>5</v>
      </c>
      <c r="F119">
        <f>D119/E119</f>
        <v>0.8</v>
      </c>
      <c r="G119">
        <f t="shared" si="1"/>
        <v>1</v>
      </c>
    </row>
    <row r="120" spans="1:7" x14ac:dyDescent="0.25">
      <c r="A120">
        <v>5</v>
      </c>
      <c r="B120">
        <v>4</v>
      </c>
      <c r="C120" t="s">
        <v>10</v>
      </c>
      <c r="D120">
        <v>4</v>
      </c>
      <c r="E120">
        <v>5</v>
      </c>
      <c r="F120">
        <f>D120/E120</f>
        <v>0.8</v>
      </c>
      <c r="G120">
        <f t="shared" si="1"/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C9AB6A-E46B-4090-9ABD-E10BA4DF78B7}">
  <dimension ref="A1:F46"/>
  <sheetViews>
    <sheetView workbookViewId="0">
      <selection activeCell="J38" sqref="J38"/>
    </sheetView>
  </sheetViews>
  <sheetFormatPr defaultRowHeight="15" x14ac:dyDescent="0.25"/>
  <sheetData>
    <row r="1" spans="1:6" x14ac:dyDescent="0.25">
      <c r="A1" t="s">
        <v>0</v>
      </c>
      <c r="B1" t="s">
        <v>2</v>
      </c>
      <c r="C1" t="s">
        <v>3</v>
      </c>
      <c r="D1" t="s">
        <v>15</v>
      </c>
      <c r="E1" t="s">
        <v>16</v>
      </c>
      <c r="F1" t="s">
        <v>4</v>
      </c>
    </row>
    <row r="2" spans="1:6" x14ac:dyDescent="0.25">
      <c r="A2">
        <v>1</v>
      </c>
      <c r="B2" t="s">
        <v>26</v>
      </c>
      <c r="C2">
        <v>6</v>
      </c>
      <c r="D2">
        <v>19</v>
      </c>
      <c r="E2">
        <v>0.31578947400000001</v>
      </c>
      <c r="F2">
        <v>13</v>
      </c>
    </row>
    <row r="3" spans="1:6" x14ac:dyDescent="0.25">
      <c r="A3">
        <v>2</v>
      </c>
      <c r="B3" t="s">
        <v>26</v>
      </c>
      <c r="C3">
        <v>2</v>
      </c>
      <c r="D3">
        <v>16</v>
      </c>
      <c r="E3">
        <v>0.125</v>
      </c>
      <c r="F3">
        <v>14</v>
      </c>
    </row>
    <row r="4" spans="1:6" x14ac:dyDescent="0.25">
      <c r="A4">
        <v>3</v>
      </c>
      <c r="B4" t="s">
        <v>26</v>
      </c>
      <c r="C4">
        <v>2</v>
      </c>
      <c r="D4">
        <v>16</v>
      </c>
      <c r="E4">
        <v>0.125</v>
      </c>
      <c r="F4">
        <v>14</v>
      </c>
    </row>
    <row r="5" spans="1:6" x14ac:dyDescent="0.25">
      <c r="A5">
        <v>4</v>
      </c>
      <c r="B5" t="s">
        <v>26</v>
      </c>
      <c r="C5">
        <v>4</v>
      </c>
      <c r="D5">
        <v>20</v>
      </c>
      <c r="E5">
        <v>0.2</v>
      </c>
      <c r="F5">
        <v>16</v>
      </c>
    </row>
    <row r="6" spans="1:6" x14ac:dyDescent="0.25">
      <c r="A6">
        <v>5</v>
      </c>
      <c r="B6" t="s">
        <v>26</v>
      </c>
      <c r="C6">
        <v>3</v>
      </c>
      <c r="D6">
        <v>20</v>
      </c>
      <c r="E6">
        <v>0.15</v>
      </c>
      <c r="F6">
        <v>17</v>
      </c>
    </row>
    <row r="7" spans="1:6" x14ac:dyDescent="0.25">
      <c r="A7">
        <v>6</v>
      </c>
      <c r="B7" t="s">
        <v>26</v>
      </c>
      <c r="C7">
        <v>3</v>
      </c>
      <c r="D7">
        <v>21</v>
      </c>
      <c r="E7">
        <v>0.14285714299999999</v>
      </c>
      <c r="F7">
        <v>18</v>
      </c>
    </row>
    <row r="8" spans="1:6" x14ac:dyDescent="0.25">
      <c r="A8">
        <v>7</v>
      </c>
      <c r="B8" t="s">
        <v>26</v>
      </c>
      <c r="C8">
        <v>4</v>
      </c>
      <c r="D8">
        <v>15</v>
      </c>
      <c r="E8">
        <v>0.26666666700000002</v>
      </c>
      <c r="F8">
        <v>11</v>
      </c>
    </row>
    <row r="9" spans="1:6" x14ac:dyDescent="0.25">
      <c r="A9">
        <v>8</v>
      </c>
      <c r="B9" t="s">
        <v>26</v>
      </c>
      <c r="C9">
        <v>4</v>
      </c>
      <c r="D9">
        <v>20</v>
      </c>
      <c r="E9">
        <v>0.2</v>
      </c>
      <c r="F9">
        <v>16</v>
      </c>
    </row>
    <row r="10" spans="1:6" x14ac:dyDescent="0.25">
      <c r="A10">
        <v>9</v>
      </c>
      <c r="B10" t="s">
        <v>26</v>
      </c>
      <c r="C10">
        <v>4</v>
      </c>
      <c r="D10">
        <v>16</v>
      </c>
      <c r="E10">
        <v>0.25</v>
      </c>
      <c r="F10">
        <v>12</v>
      </c>
    </row>
    <row r="11" spans="1:6" x14ac:dyDescent="0.25">
      <c r="A11">
        <v>1</v>
      </c>
      <c r="B11" t="s">
        <v>27</v>
      </c>
      <c r="C11">
        <v>11</v>
      </c>
      <c r="D11">
        <v>15</v>
      </c>
      <c r="E11">
        <v>0.73333333300000003</v>
      </c>
      <c r="F11">
        <v>4</v>
      </c>
    </row>
    <row r="12" spans="1:6" x14ac:dyDescent="0.25">
      <c r="A12">
        <v>2</v>
      </c>
      <c r="B12" t="s">
        <v>27</v>
      </c>
      <c r="C12">
        <v>7</v>
      </c>
      <c r="D12">
        <v>10</v>
      </c>
      <c r="E12">
        <v>0.7</v>
      </c>
      <c r="F12">
        <v>3</v>
      </c>
    </row>
    <row r="13" spans="1:6" x14ac:dyDescent="0.25">
      <c r="A13">
        <v>3</v>
      </c>
      <c r="B13" t="s">
        <v>27</v>
      </c>
      <c r="C13">
        <v>9</v>
      </c>
      <c r="D13">
        <v>15</v>
      </c>
      <c r="E13">
        <v>0.6</v>
      </c>
      <c r="F13">
        <v>6</v>
      </c>
    </row>
    <row r="14" spans="1:6" x14ac:dyDescent="0.25">
      <c r="A14">
        <v>4</v>
      </c>
      <c r="B14" t="s">
        <v>27</v>
      </c>
      <c r="C14">
        <v>6</v>
      </c>
      <c r="D14">
        <v>12</v>
      </c>
      <c r="E14">
        <v>0.5</v>
      </c>
      <c r="F14">
        <v>6</v>
      </c>
    </row>
    <row r="15" spans="1:6" x14ac:dyDescent="0.25">
      <c r="A15">
        <v>5</v>
      </c>
      <c r="B15" t="s">
        <v>27</v>
      </c>
      <c r="C15">
        <v>6</v>
      </c>
      <c r="D15">
        <v>12</v>
      </c>
      <c r="E15">
        <v>0.5</v>
      </c>
      <c r="F15">
        <v>6</v>
      </c>
    </row>
    <row r="16" spans="1:6" x14ac:dyDescent="0.25">
      <c r="A16">
        <v>6</v>
      </c>
      <c r="B16" t="s">
        <v>27</v>
      </c>
      <c r="C16">
        <v>9</v>
      </c>
      <c r="D16">
        <v>15</v>
      </c>
      <c r="E16">
        <v>0.6</v>
      </c>
      <c r="F16">
        <v>6</v>
      </c>
    </row>
    <row r="17" spans="1:6" x14ac:dyDescent="0.25">
      <c r="A17">
        <v>7</v>
      </c>
      <c r="B17" t="s">
        <v>27</v>
      </c>
      <c r="C17">
        <v>7</v>
      </c>
      <c r="D17">
        <v>12</v>
      </c>
      <c r="E17">
        <v>0.58333333300000001</v>
      </c>
      <c r="F17">
        <v>5</v>
      </c>
    </row>
    <row r="18" spans="1:6" x14ac:dyDescent="0.25">
      <c r="A18">
        <v>8</v>
      </c>
      <c r="B18" t="s">
        <v>27</v>
      </c>
      <c r="C18">
        <v>12</v>
      </c>
      <c r="D18">
        <v>19</v>
      </c>
      <c r="E18">
        <v>0.63157894699999995</v>
      </c>
      <c r="F18">
        <v>7</v>
      </c>
    </row>
    <row r="19" spans="1:6" x14ac:dyDescent="0.25">
      <c r="A19">
        <v>9</v>
      </c>
      <c r="B19" t="s">
        <v>27</v>
      </c>
      <c r="C19">
        <v>7</v>
      </c>
      <c r="D19">
        <v>9</v>
      </c>
      <c r="E19">
        <v>0.77777777800000003</v>
      </c>
      <c r="F19">
        <v>2</v>
      </c>
    </row>
    <row r="20" spans="1:6" x14ac:dyDescent="0.25">
      <c r="A20">
        <v>1</v>
      </c>
      <c r="B20" t="s">
        <v>28</v>
      </c>
      <c r="C20">
        <v>6</v>
      </c>
      <c r="D20">
        <v>9</v>
      </c>
      <c r="E20">
        <v>0.66666666699999999</v>
      </c>
      <c r="F20">
        <v>3</v>
      </c>
    </row>
    <row r="21" spans="1:6" x14ac:dyDescent="0.25">
      <c r="A21">
        <v>2</v>
      </c>
      <c r="B21" t="s">
        <v>28</v>
      </c>
      <c r="C21">
        <v>5</v>
      </c>
      <c r="D21">
        <v>8</v>
      </c>
      <c r="E21">
        <v>0.625</v>
      </c>
      <c r="F21">
        <v>3</v>
      </c>
    </row>
    <row r="22" spans="1:6" x14ac:dyDescent="0.25">
      <c r="A22">
        <v>3</v>
      </c>
      <c r="B22" t="s">
        <v>28</v>
      </c>
      <c r="C22">
        <v>5</v>
      </c>
      <c r="D22">
        <v>8</v>
      </c>
      <c r="E22">
        <v>0.625</v>
      </c>
      <c r="F22">
        <v>3</v>
      </c>
    </row>
    <row r="23" spans="1:6" x14ac:dyDescent="0.25">
      <c r="A23">
        <v>4</v>
      </c>
      <c r="B23" t="s">
        <v>28</v>
      </c>
      <c r="C23">
        <v>4</v>
      </c>
      <c r="D23">
        <v>10</v>
      </c>
      <c r="E23">
        <v>0.4</v>
      </c>
      <c r="F23">
        <v>6</v>
      </c>
    </row>
    <row r="24" spans="1:6" x14ac:dyDescent="0.25">
      <c r="A24">
        <v>5</v>
      </c>
      <c r="B24" t="s">
        <v>28</v>
      </c>
      <c r="C24">
        <v>5</v>
      </c>
      <c r="D24">
        <v>9</v>
      </c>
      <c r="E24">
        <v>0.55555555599999995</v>
      </c>
      <c r="F24">
        <v>4</v>
      </c>
    </row>
    <row r="25" spans="1:6" x14ac:dyDescent="0.25">
      <c r="A25">
        <v>6</v>
      </c>
      <c r="B25" t="s">
        <v>28</v>
      </c>
      <c r="C25">
        <v>5</v>
      </c>
      <c r="D25">
        <v>8</v>
      </c>
      <c r="E25">
        <v>0.625</v>
      </c>
      <c r="F25">
        <v>3</v>
      </c>
    </row>
    <row r="26" spans="1:6" x14ac:dyDescent="0.25">
      <c r="A26">
        <v>7</v>
      </c>
      <c r="B26" t="s">
        <v>28</v>
      </c>
      <c r="C26">
        <v>3</v>
      </c>
      <c r="D26">
        <v>10</v>
      </c>
      <c r="E26">
        <v>0.3</v>
      </c>
      <c r="F26">
        <v>7</v>
      </c>
    </row>
    <row r="27" spans="1:6" x14ac:dyDescent="0.25">
      <c r="A27">
        <v>8</v>
      </c>
      <c r="B27" t="s">
        <v>28</v>
      </c>
      <c r="C27">
        <v>7</v>
      </c>
      <c r="D27">
        <v>9</v>
      </c>
      <c r="E27">
        <v>0.77777777800000003</v>
      </c>
      <c r="F27">
        <v>2</v>
      </c>
    </row>
    <row r="28" spans="1:6" x14ac:dyDescent="0.25">
      <c r="A28">
        <v>9</v>
      </c>
      <c r="B28" t="s">
        <v>28</v>
      </c>
      <c r="C28">
        <v>4</v>
      </c>
      <c r="D28">
        <v>6</v>
      </c>
      <c r="E28">
        <v>0.66666666699999999</v>
      </c>
      <c r="F28">
        <v>2</v>
      </c>
    </row>
    <row r="29" spans="1:6" x14ac:dyDescent="0.25">
      <c r="A29">
        <v>1</v>
      </c>
      <c r="B29" t="s">
        <v>29</v>
      </c>
      <c r="C29">
        <v>13</v>
      </c>
      <c r="D29">
        <v>15</v>
      </c>
      <c r="E29">
        <v>0.86666666699999995</v>
      </c>
      <c r="F29">
        <v>2</v>
      </c>
    </row>
    <row r="30" spans="1:6" x14ac:dyDescent="0.25">
      <c r="A30">
        <v>2</v>
      </c>
      <c r="B30" t="s">
        <v>29</v>
      </c>
      <c r="C30">
        <v>9</v>
      </c>
      <c r="D30">
        <v>12</v>
      </c>
      <c r="E30">
        <v>0.75</v>
      </c>
      <c r="F30">
        <v>3</v>
      </c>
    </row>
    <row r="31" spans="1:6" x14ac:dyDescent="0.25">
      <c r="A31">
        <v>3</v>
      </c>
      <c r="B31" t="s">
        <v>29</v>
      </c>
      <c r="C31">
        <v>11</v>
      </c>
      <c r="D31">
        <v>12</v>
      </c>
      <c r="E31">
        <v>0.91666666699999999</v>
      </c>
      <c r="F31">
        <v>1</v>
      </c>
    </row>
    <row r="32" spans="1:6" x14ac:dyDescent="0.25">
      <c r="A32">
        <v>4</v>
      </c>
      <c r="B32" t="s">
        <v>29</v>
      </c>
      <c r="C32">
        <v>10</v>
      </c>
      <c r="D32">
        <v>12</v>
      </c>
      <c r="E32">
        <v>0.83333333300000001</v>
      </c>
      <c r="F32">
        <v>2</v>
      </c>
    </row>
    <row r="33" spans="1:6" x14ac:dyDescent="0.25">
      <c r="A33">
        <v>5</v>
      </c>
      <c r="B33" t="s">
        <v>29</v>
      </c>
      <c r="C33">
        <v>8</v>
      </c>
      <c r="D33">
        <v>10</v>
      </c>
      <c r="E33">
        <v>0.8</v>
      </c>
      <c r="F33">
        <v>2</v>
      </c>
    </row>
    <row r="34" spans="1:6" x14ac:dyDescent="0.25">
      <c r="A34">
        <v>6</v>
      </c>
      <c r="B34" t="s">
        <v>29</v>
      </c>
      <c r="C34">
        <v>10</v>
      </c>
      <c r="D34">
        <v>12</v>
      </c>
      <c r="E34">
        <v>0.83333333300000001</v>
      </c>
      <c r="F34">
        <v>2</v>
      </c>
    </row>
    <row r="35" spans="1:6" x14ac:dyDescent="0.25">
      <c r="A35">
        <v>7</v>
      </c>
      <c r="B35" t="s">
        <v>29</v>
      </c>
      <c r="C35">
        <v>7</v>
      </c>
      <c r="D35">
        <v>10</v>
      </c>
      <c r="E35">
        <v>0.7</v>
      </c>
      <c r="F35">
        <v>3</v>
      </c>
    </row>
    <row r="36" spans="1:6" x14ac:dyDescent="0.25">
      <c r="A36">
        <v>8</v>
      </c>
      <c r="B36" t="s">
        <v>29</v>
      </c>
      <c r="C36">
        <v>6</v>
      </c>
      <c r="D36">
        <v>8</v>
      </c>
      <c r="E36">
        <v>0.75</v>
      </c>
      <c r="F36">
        <v>2</v>
      </c>
    </row>
    <row r="37" spans="1:6" x14ac:dyDescent="0.25">
      <c r="A37">
        <v>9</v>
      </c>
      <c r="B37" t="s">
        <v>29</v>
      </c>
      <c r="C37">
        <v>8</v>
      </c>
      <c r="D37">
        <v>10</v>
      </c>
      <c r="E37">
        <v>0.8</v>
      </c>
      <c r="F37">
        <v>2</v>
      </c>
    </row>
    <row r="38" spans="1:6" x14ac:dyDescent="0.25">
      <c r="A38">
        <v>1</v>
      </c>
      <c r="B38" t="s">
        <v>30</v>
      </c>
      <c r="C38">
        <v>11</v>
      </c>
      <c r="D38">
        <v>14</v>
      </c>
      <c r="E38">
        <v>0.78571428600000004</v>
      </c>
      <c r="F38">
        <v>3</v>
      </c>
    </row>
    <row r="39" spans="1:6" x14ac:dyDescent="0.25">
      <c r="A39">
        <v>2</v>
      </c>
      <c r="B39" t="s">
        <v>30</v>
      </c>
      <c r="C39">
        <v>8</v>
      </c>
      <c r="D39">
        <v>14</v>
      </c>
      <c r="E39">
        <v>0.571428571</v>
      </c>
      <c r="F39">
        <v>6</v>
      </c>
    </row>
    <row r="40" spans="1:6" x14ac:dyDescent="0.25">
      <c r="A40">
        <v>3</v>
      </c>
      <c r="B40" t="s">
        <v>30</v>
      </c>
      <c r="C40">
        <v>12</v>
      </c>
      <c r="D40">
        <v>14</v>
      </c>
      <c r="E40">
        <v>0.85714285700000004</v>
      </c>
      <c r="F40">
        <v>2</v>
      </c>
    </row>
    <row r="41" spans="1:6" x14ac:dyDescent="0.25">
      <c r="A41">
        <v>4</v>
      </c>
      <c r="B41" t="s">
        <v>30</v>
      </c>
      <c r="C41">
        <v>12</v>
      </c>
      <c r="D41">
        <v>14</v>
      </c>
      <c r="E41">
        <v>0.85714285700000004</v>
      </c>
      <c r="F41">
        <v>2</v>
      </c>
    </row>
    <row r="42" spans="1:6" x14ac:dyDescent="0.25">
      <c r="A42">
        <v>5</v>
      </c>
      <c r="B42" t="s">
        <v>30</v>
      </c>
      <c r="C42">
        <v>7</v>
      </c>
      <c r="D42">
        <v>14</v>
      </c>
      <c r="E42">
        <v>0.5</v>
      </c>
      <c r="F42">
        <v>7</v>
      </c>
    </row>
    <row r="43" spans="1:6" x14ac:dyDescent="0.25">
      <c r="A43">
        <v>6</v>
      </c>
      <c r="B43" t="s">
        <v>30</v>
      </c>
      <c r="C43">
        <v>11</v>
      </c>
      <c r="D43">
        <v>14</v>
      </c>
      <c r="E43">
        <v>0.78571428600000004</v>
      </c>
      <c r="F43">
        <v>3</v>
      </c>
    </row>
    <row r="44" spans="1:6" x14ac:dyDescent="0.25">
      <c r="A44">
        <v>7</v>
      </c>
      <c r="B44" t="s">
        <v>30</v>
      </c>
      <c r="C44">
        <v>14</v>
      </c>
      <c r="D44">
        <v>14</v>
      </c>
      <c r="E44">
        <v>1</v>
      </c>
      <c r="F44">
        <v>0</v>
      </c>
    </row>
    <row r="45" spans="1:6" x14ac:dyDescent="0.25">
      <c r="A45">
        <v>8</v>
      </c>
      <c r="B45" t="s">
        <v>30</v>
      </c>
      <c r="C45">
        <v>9</v>
      </c>
      <c r="D45">
        <v>12</v>
      </c>
      <c r="E45">
        <v>0.75</v>
      </c>
      <c r="F45">
        <v>3</v>
      </c>
    </row>
    <row r="46" spans="1:6" x14ac:dyDescent="0.25">
      <c r="A46">
        <v>9</v>
      </c>
      <c r="B46" t="s">
        <v>30</v>
      </c>
      <c r="C46">
        <v>9</v>
      </c>
      <c r="D46">
        <v>12</v>
      </c>
      <c r="E46">
        <v>0.75</v>
      </c>
      <c r="F46">
        <v>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88851D-3CC1-4F8E-8075-B52C36FBDC36}">
  <dimension ref="A1:D77"/>
  <sheetViews>
    <sheetView tabSelected="1" workbookViewId="0">
      <selection activeCell="J30" sqref="J30"/>
    </sheetView>
  </sheetViews>
  <sheetFormatPr defaultRowHeight="15" x14ac:dyDescent="0.25"/>
  <sheetData>
    <row r="1" spans="1:4" x14ac:dyDescent="0.25">
      <c r="A1" t="s">
        <v>12</v>
      </c>
      <c r="B1" t="s">
        <v>2</v>
      </c>
      <c r="C1" t="s">
        <v>14</v>
      </c>
      <c r="D1" t="s">
        <v>0</v>
      </c>
    </row>
    <row r="2" spans="1:4" x14ac:dyDescent="0.25">
      <c r="A2">
        <v>0.95254510981484353</v>
      </c>
      <c r="B2" t="s">
        <v>26</v>
      </c>
      <c r="C2">
        <v>5</v>
      </c>
      <c r="D2">
        <v>1</v>
      </c>
    </row>
    <row r="3" spans="1:4" x14ac:dyDescent="0.25">
      <c r="A3">
        <v>3.4745216862770003</v>
      </c>
      <c r="B3" t="s">
        <v>26</v>
      </c>
      <c r="C3">
        <v>0</v>
      </c>
      <c r="D3">
        <v>3</v>
      </c>
    </row>
    <row r="4" spans="1:4" x14ac:dyDescent="0.25">
      <c r="A4">
        <v>0.74842830056880549</v>
      </c>
      <c r="B4" t="s">
        <v>26</v>
      </c>
      <c r="C4">
        <v>1</v>
      </c>
      <c r="D4">
        <v>4</v>
      </c>
    </row>
    <row r="5" spans="1:4" x14ac:dyDescent="0.25">
      <c r="A5">
        <v>0.88450617339949744</v>
      </c>
      <c r="B5" t="s">
        <v>26</v>
      </c>
      <c r="C5">
        <v>1</v>
      </c>
      <c r="D5">
        <v>5</v>
      </c>
    </row>
    <row r="6" spans="1:4" x14ac:dyDescent="0.25">
      <c r="A6">
        <v>6.803893641534596E-2</v>
      </c>
      <c r="B6" t="s">
        <v>26</v>
      </c>
      <c r="C6">
        <v>0</v>
      </c>
      <c r="D6">
        <v>6</v>
      </c>
    </row>
    <row r="7" spans="1:4" x14ac:dyDescent="0.25">
      <c r="A7">
        <v>5.7152706588890609</v>
      </c>
      <c r="B7" t="s">
        <v>28</v>
      </c>
      <c r="C7">
        <v>5</v>
      </c>
      <c r="D7">
        <v>7</v>
      </c>
    </row>
    <row r="8" spans="1:4" x14ac:dyDescent="0.25">
      <c r="A8">
        <v>5.733414375266487</v>
      </c>
      <c r="B8" t="s">
        <v>28</v>
      </c>
      <c r="C8">
        <v>0</v>
      </c>
      <c r="D8">
        <v>8</v>
      </c>
    </row>
    <row r="9" spans="1:4" x14ac:dyDescent="0.25">
      <c r="A9">
        <v>4.8262285563952068</v>
      </c>
      <c r="B9" t="s">
        <v>26</v>
      </c>
      <c r="C9">
        <v>1</v>
      </c>
      <c r="D9">
        <v>8</v>
      </c>
    </row>
    <row r="10" spans="1:4" x14ac:dyDescent="0.25">
      <c r="A10">
        <v>0.95254510981484353</v>
      </c>
      <c r="B10" t="s">
        <v>26</v>
      </c>
      <c r="C10">
        <v>0</v>
      </c>
      <c r="D10">
        <v>7</v>
      </c>
    </row>
    <row r="11" spans="1:4" x14ac:dyDescent="0.25">
      <c r="A11">
        <v>1.9504495105732509</v>
      </c>
      <c r="B11" t="s">
        <v>26</v>
      </c>
      <c r="C11">
        <v>1</v>
      </c>
      <c r="D11">
        <v>9</v>
      </c>
    </row>
    <row r="12" spans="1:4" x14ac:dyDescent="0.25">
      <c r="A12">
        <v>1.9504495105732509</v>
      </c>
      <c r="B12" t="s">
        <v>26</v>
      </c>
      <c r="C12">
        <v>1</v>
      </c>
      <c r="D12">
        <v>9</v>
      </c>
    </row>
    <row r="13" spans="1:4" x14ac:dyDescent="0.25">
      <c r="A13">
        <v>10.160481171358329</v>
      </c>
      <c r="B13" t="s">
        <v>27</v>
      </c>
      <c r="C13">
        <v>0</v>
      </c>
      <c r="D13">
        <v>1</v>
      </c>
    </row>
    <row r="14" spans="1:4" x14ac:dyDescent="0.25">
      <c r="A14">
        <v>7.3300614164799383</v>
      </c>
      <c r="B14" t="s">
        <v>27</v>
      </c>
      <c r="C14">
        <v>0</v>
      </c>
      <c r="D14">
        <v>1</v>
      </c>
    </row>
    <row r="15" spans="1:4" x14ac:dyDescent="0.25">
      <c r="A15">
        <v>9.4256606580725943</v>
      </c>
      <c r="B15" t="s">
        <v>27</v>
      </c>
      <c r="C15">
        <v>1</v>
      </c>
      <c r="D15">
        <v>1</v>
      </c>
    </row>
    <row r="16" spans="1:4" x14ac:dyDescent="0.25">
      <c r="A16">
        <v>5.9647467590786629</v>
      </c>
      <c r="B16" t="s">
        <v>27</v>
      </c>
      <c r="C16">
        <v>1</v>
      </c>
      <c r="D16">
        <v>2</v>
      </c>
    </row>
    <row r="17" spans="1:4" x14ac:dyDescent="0.25">
      <c r="A17">
        <v>6.921827797987862</v>
      </c>
      <c r="B17" t="s">
        <v>27</v>
      </c>
      <c r="C17">
        <v>0</v>
      </c>
      <c r="D17">
        <v>3</v>
      </c>
    </row>
    <row r="18" spans="1:4" x14ac:dyDescent="0.25">
      <c r="A18">
        <v>13.272128530086819</v>
      </c>
      <c r="B18" t="s">
        <v>27</v>
      </c>
      <c r="C18">
        <v>0</v>
      </c>
      <c r="D18">
        <v>4</v>
      </c>
    </row>
    <row r="19" spans="1:4" x14ac:dyDescent="0.25">
      <c r="A19">
        <v>14.152098774391959</v>
      </c>
      <c r="B19" t="s">
        <v>27</v>
      </c>
      <c r="C19">
        <v>0</v>
      </c>
      <c r="D19">
        <v>5</v>
      </c>
    </row>
    <row r="20" spans="1:4" x14ac:dyDescent="0.25">
      <c r="A20">
        <v>9.1172174796563592</v>
      </c>
      <c r="B20" t="s">
        <v>27</v>
      </c>
      <c r="C20">
        <v>0</v>
      </c>
      <c r="D20">
        <v>7</v>
      </c>
    </row>
    <row r="21" spans="1:4" x14ac:dyDescent="0.25">
      <c r="A21">
        <v>7.1667679690831081</v>
      </c>
      <c r="B21" t="s">
        <v>27</v>
      </c>
      <c r="C21">
        <v>0</v>
      </c>
      <c r="D21">
        <v>8</v>
      </c>
    </row>
    <row r="22" spans="1:4" x14ac:dyDescent="0.25">
      <c r="A22">
        <v>6.2595821502118287</v>
      </c>
      <c r="B22" t="s">
        <v>27</v>
      </c>
      <c r="C22">
        <v>0</v>
      </c>
      <c r="D22">
        <v>8</v>
      </c>
    </row>
    <row r="23" spans="1:4" x14ac:dyDescent="0.25">
      <c r="A23">
        <v>4.3091326396385776</v>
      </c>
      <c r="B23" t="s">
        <v>27</v>
      </c>
      <c r="C23">
        <v>0</v>
      </c>
      <c r="D23">
        <v>8</v>
      </c>
    </row>
    <row r="24" spans="1:4" x14ac:dyDescent="0.25">
      <c r="A24">
        <v>6.4228755976086589</v>
      </c>
      <c r="B24" t="s">
        <v>27</v>
      </c>
      <c r="C24">
        <v>0</v>
      </c>
      <c r="D24">
        <v>8</v>
      </c>
    </row>
    <row r="25" spans="1:4" x14ac:dyDescent="0.25">
      <c r="A25">
        <v>9.2396875652039814</v>
      </c>
      <c r="B25" t="s">
        <v>27</v>
      </c>
      <c r="C25">
        <v>1</v>
      </c>
      <c r="D25">
        <v>9</v>
      </c>
    </row>
    <row r="26" spans="1:4" x14ac:dyDescent="0.25">
      <c r="A26">
        <v>9.7522475528662547</v>
      </c>
      <c r="B26" t="s">
        <v>27</v>
      </c>
      <c r="C26">
        <v>0</v>
      </c>
      <c r="D26">
        <v>9</v>
      </c>
    </row>
    <row r="27" spans="1:4" x14ac:dyDescent="0.25">
      <c r="A27">
        <v>6.2595821502118287</v>
      </c>
      <c r="B27" t="s">
        <v>28</v>
      </c>
      <c r="C27">
        <v>0</v>
      </c>
      <c r="D27">
        <v>1</v>
      </c>
    </row>
    <row r="28" spans="1:4" x14ac:dyDescent="0.25">
      <c r="A28">
        <v>13.607787283069193</v>
      </c>
      <c r="B28" t="s">
        <v>28</v>
      </c>
      <c r="C28">
        <v>0</v>
      </c>
      <c r="D28">
        <v>2</v>
      </c>
    </row>
    <row r="29" spans="1:4" x14ac:dyDescent="0.25">
      <c r="A29">
        <v>5.216318458509857</v>
      </c>
      <c r="B29" t="s">
        <v>28</v>
      </c>
      <c r="C29">
        <v>0</v>
      </c>
      <c r="D29">
        <v>3</v>
      </c>
    </row>
    <row r="30" spans="1:4" x14ac:dyDescent="0.25">
      <c r="A30">
        <v>4.6720069671870901</v>
      </c>
      <c r="B30" t="s">
        <v>28</v>
      </c>
      <c r="C30">
        <v>0</v>
      </c>
      <c r="D30">
        <v>4</v>
      </c>
    </row>
    <row r="31" spans="1:4" x14ac:dyDescent="0.25">
      <c r="A31">
        <v>6.3684444484763816</v>
      </c>
      <c r="B31" t="s">
        <v>28</v>
      </c>
      <c r="C31">
        <v>0</v>
      </c>
      <c r="D31">
        <v>5</v>
      </c>
    </row>
    <row r="32" spans="1:4" x14ac:dyDescent="0.25">
      <c r="A32">
        <v>4.6175758180548128</v>
      </c>
      <c r="B32" t="s">
        <v>28</v>
      </c>
      <c r="C32">
        <v>1</v>
      </c>
      <c r="D32">
        <v>6</v>
      </c>
    </row>
    <row r="33" spans="1:4" x14ac:dyDescent="0.25">
      <c r="A33">
        <v>1.9141620778183996</v>
      </c>
      <c r="B33" t="s">
        <v>28</v>
      </c>
      <c r="C33">
        <v>1</v>
      </c>
      <c r="D33">
        <v>7</v>
      </c>
    </row>
    <row r="34" spans="1:4" x14ac:dyDescent="0.25">
      <c r="A34">
        <v>8.9720677486369542</v>
      </c>
      <c r="B34" t="s">
        <v>28</v>
      </c>
      <c r="C34">
        <v>0</v>
      </c>
      <c r="D34">
        <v>8</v>
      </c>
    </row>
    <row r="35" spans="1:4" x14ac:dyDescent="0.25">
      <c r="A35">
        <v>3.4473061117108621</v>
      </c>
      <c r="B35" t="s">
        <v>28</v>
      </c>
      <c r="C35">
        <v>0</v>
      </c>
      <c r="D35">
        <v>9</v>
      </c>
    </row>
    <row r="36" spans="1:4" x14ac:dyDescent="0.25">
      <c r="A36">
        <v>5.733414375266487</v>
      </c>
      <c r="B36" t="s">
        <v>28</v>
      </c>
      <c r="C36">
        <v>0</v>
      </c>
      <c r="D36">
        <v>1</v>
      </c>
    </row>
    <row r="37" spans="1:4" x14ac:dyDescent="0.25">
      <c r="A37">
        <v>2.5854795837831466</v>
      </c>
      <c r="B37" t="s">
        <v>26</v>
      </c>
      <c r="C37">
        <v>0</v>
      </c>
      <c r="D37">
        <v>2</v>
      </c>
    </row>
    <row r="38" spans="1:4" x14ac:dyDescent="0.25">
      <c r="A38">
        <v>2.0865273834039426</v>
      </c>
      <c r="B38" t="s">
        <v>26</v>
      </c>
      <c r="C38">
        <v>0</v>
      </c>
      <c r="D38">
        <v>4</v>
      </c>
    </row>
    <row r="39" spans="1:4" x14ac:dyDescent="0.25">
      <c r="A39">
        <v>4.8262285563952068</v>
      </c>
      <c r="B39" t="s">
        <v>29</v>
      </c>
      <c r="C39">
        <v>0</v>
      </c>
      <c r="D39">
        <v>1</v>
      </c>
    </row>
    <row r="40" spans="1:4" x14ac:dyDescent="0.25">
      <c r="A40">
        <v>8.2281753771625059</v>
      </c>
      <c r="B40" t="s">
        <v>29</v>
      </c>
      <c r="C40">
        <v>1</v>
      </c>
      <c r="D40">
        <v>2</v>
      </c>
    </row>
    <row r="41" spans="1:4" x14ac:dyDescent="0.25">
      <c r="A41">
        <v>7.9288040569349825</v>
      </c>
      <c r="B41" t="s">
        <v>29</v>
      </c>
      <c r="C41">
        <v>0</v>
      </c>
      <c r="D41">
        <v>3</v>
      </c>
    </row>
    <row r="42" spans="1:4" x14ac:dyDescent="0.25">
      <c r="A42">
        <v>5.0983843020565907</v>
      </c>
      <c r="B42" t="s">
        <v>29</v>
      </c>
      <c r="C42">
        <v>0</v>
      </c>
      <c r="D42">
        <v>4</v>
      </c>
    </row>
    <row r="43" spans="1:4" x14ac:dyDescent="0.25">
      <c r="A43">
        <v>5.4204352677558942</v>
      </c>
      <c r="B43" t="s">
        <v>29</v>
      </c>
      <c r="C43">
        <v>0</v>
      </c>
      <c r="D43">
        <v>5</v>
      </c>
    </row>
    <row r="44" spans="1:4" x14ac:dyDescent="0.25">
      <c r="A44">
        <v>5.7152706588890609</v>
      </c>
      <c r="B44" t="s">
        <v>29</v>
      </c>
      <c r="C44">
        <v>0</v>
      </c>
      <c r="D44">
        <v>6</v>
      </c>
    </row>
    <row r="45" spans="1:4" x14ac:dyDescent="0.25">
      <c r="A45">
        <v>8.1601364407471575</v>
      </c>
      <c r="B45" t="s">
        <v>29</v>
      </c>
      <c r="C45">
        <v>0</v>
      </c>
      <c r="D45">
        <v>7</v>
      </c>
    </row>
    <row r="46" spans="1:4" x14ac:dyDescent="0.25">
      <c r="A46">
        <v>8.9902114650143794</v>
      </c>
      <c r="B46" t="s">
        <v>29</v>
      </c>
      <c r="C46">
        <v>0</v>
      </c>
      <c r="D46">
        <v>8</v>
      </c>
    </row>
    <row r="47" spans="1:4" x14ac:dyDescent="0.25">
      <c r="A47">
        <v>13.01811650080286</v>
      </c>
      <c r="B47" t="s">
        <v>29</v>
      </c>
      <c r="C47">
        <v>0</v>
      </c>
      <c r="D47">
        <v>9</v>
      </c>
    </row>
    <row r="48" spans="1:4" x14ac:dyDescent="0.25">
      <c r="A48">
        <v>8.4912592646351754</v>
      </c>
      <c r="B48" t="s">
        <v>29</v>
      </c>
      <c r="C48">
        <v>1</v>
      </c>
      <c r="D48">
        <v>1</v>
      </c>
    </row>
    <row r="49" spans="1:4" x14ac:dyDescent="0.25">
      <c r="A49">
        <v>7.1985194727436026</v>
      </c>
      <c r="B49" t="s">
        <v>29</v>
      </c>
      <c r="C49">
        <v>0</v>
      </c>
      <c r="D49">
        <v>1</v>
      </c>
    </row>
    <row r="50" spans="1:4" x14ac:dyDescent="0.25">
      <c r="A50">
        <v>5.1936388130380751</v>
      </c>
      <c r="B50" t="s">
        <v>29</v>
      </c>
      <c r="C50">
        <v>0</v>
      </c>
      <c r="D50">
        <v>4</v>
      </c>
    </row>
    <row r="51" spans="1:4" x14ac:dyDescent="0.25">
      <c r="A51">
        <v>7.1667679690831081</v>
      </c>
      <c r="B51" t="s">
        <v>29</v>
      </c>
      <c r="C51">
        <v>0</v>
      </c>
      <c r="D51">
        <v>4</v>
      </c>
    </row>
    <row r="52" spans="1:4" x14ac:dyDescent="0.25">
      <c r="A52">
        <v>9.2532953524870507</v>
      </c>
      <c r="B52" t="s">
        <v>30</v>
      </c>
      <c r="C52">
        <v>0</v>
      </c>
      <c r="D52">
        <v>9</v>
      </c>
    </row>
    <row r="53" spans="1:4" x14ac:dyDescent="0.25">
      <c r="A53">
        <v>13.272128530086819</v>
      </c>
      <c r="B53" t="s">
        <v>27</v>
      </c>
      <c r="C53">
        <v>0</v>
      </c>
      <c r="D53">
        <v>6</v>
      </c>
    </row>
    <row r="54" spans="1:4" x14ac:dyDescent="0.25">
      <c r="A54">
        <v>10.3509901933213</v>
      </c>
      <c r="B54" t="s">
        <v>30</v>
      </c>
      <c r="C54">
        <v>0</v>
      </c>
      <c r="D54">
        <v>7</v>
      </c>
    </row>
    <row r="55" spans="1:4" x14ac:dyDescent="0.25">
      <c r="A55">
        <v>2.7669167475574024</v>
      </c>
      <c r="B55" t="s">
        <v>30</v>
      </c>
      <c r="C55">
        <v>0</v>
      </c>
      <c r="D55">
        <v>7</v>
      </c>
    </row>
    <row r="56" spans="1:4" x14ac:dyDescent="0.25">
      <c r="A56">
        <v>8.7089838611642829</v>
      </c>
      <c r="B56" t="s">
        <v>30</v>
      </c>
      <c r="C56">
        <v>0</v>
      </c>
      <c r="D56">
        <v>8</v>
      </c>
    </row>
    <row r="57" spans="1:4" x14ac:dyDescent="0.25">
      <c r="A57">
        <v>7.4162440692727101</v>
      </c>
      <c r="B57" t="s">
        <v>30</v>
      </c>
      <c r="C57">
        <v>0</v>
      </c>
      <c r="D57">
        <v>8</v>
      </c>
    </row>
    <row r="58" spans="1:4" x14ac:dyDescent="0.25">
      <c r="A58">
        <v>3.9008990211465018</v>
      </c>
      <c r="B58" t="s">
        <v>30</v>
      </c>
      <c r="C58">
        <v>2</v>
      </c>
      <c r="D58">
        <v>5</v>
      </c>
    </row>
    <row r="59" spans="1:4" x14ac:dyDescent="0.25">
      <c r="A59">
        <v>4.1095517594868962</v>
      </c>
      <c r="B59" t="s">
        <v>30</v>
      </c>
      <c r="C59">
        <v>0</v>
      </c>
      <c r="D59">
        <v>6</v>
      </c>
    </row>
    <row r="60" spans="1:4" x14ac:dyDescent="0.25">
      <c r="A60">
        <v>6.6224564777603403</v>
      </c>
      <c r="B60" t="s">
        <v>30</v>
      </c>
      <c r="C60">
        <v>0</v>
      </c>
      <c r="D60">
        <v>3</v>
      </c>
    </row>
    <row r="61" spans="1:4" x14ac:dyDescent="0.25">
      <c r="A61">
        <v>8.7543431521078467</v>
      </c>
      <c r="B61" t="s">
        <v>30</v>
      </c>
      <c r="C61">
        <v>0</v>
      </c>
      <c r="D61">
        <v>1</v>
      </c>
    </row>
    <row r="62" spans="1:4" x14ac:dyDescent="0.25">
      <c r="A62">
        <v>5.9783545463617314</v>
      </c>
      <c r="B62" t="s">
        <v>30</v>
      </c>
      <c r="C62">
        <v>0</v>
      </c>
      <c r="D62">
        <v>2</v>
      </c>
    </row>
    <row r="63" spans="1:4" x14ac:dyDescent="0.25">
      <c r="A63">
        <v>5.1528154511888671</v>
      </c>
      <c r="B63" t="s">
        <v>30</v>
      </c>
      <c r="C63">
        <v>0</v>
      </c>
      <c r="D63">
        <v>4</v>
      </c>
    </row>
    <row r="64" spans="1:4" x14ac:dyDescent="0.25">
      <c r="A64">
        <v>6.0781449864375725</v>
      </c>
      <c r="B64" t="s">
        <v>30</v>
      </c>
      <c r="C64">
        <v>0</v>
      </c>
      <c r="D64">
        <v>7</v>
      </c>
    </row>
    <row r="65" spans="1:4" x14ac:dyDescent="0.25">
      <c r="A65">
        <v>11.339822735890994</v>
      </c>
      <c r="B65" t="s">
        <v>30</v>
      </c>
      <c r="C65">
        <v>0</v>
      </c>
      <c r="D65">
        <v>2</v>
      </c>
    </row>
    <row r="66" spans="1:4" x14ac:dyDescent="0.25">
      <c r="A66">
        <v>14.614763542016313</v>
      </c>
      <c r="B66" t="s">
        <v>30</v>
      </c>
      <c r="C66">
        <v>0</v>
      </c>
      <c r="D66">
        <v>3</v>
      </c>
    </row>
    <row r="67" spans="1:4" x14ac:dyDescent="0.25">
      <c r="A67">
        <v>6.7812139960628137</v>
      </c>
      <c r="B67" t="s">
        <v>30</v>
      </c>
      <c r="C67">
        <v>0</v>
      </c>
      <c r="D67">
        <v>4</v>
      </c>
    </row>
    <row r="68" spans="1:4" x14ac:dyDescent="0.25">
      <c r="A68">
        <v>8.9176365995046769</v>
      </c>
      <c r="B68" t="s">
        <v>30</v>
      </c>
      <c r="C68">
        <v>0</v>
      </c>
      <c r="D68">
        <v>7</v>
      </c>
    </row>
    <row r="69" spans="1:4" x14ac:dyDescent="0.25">
      <c r="A69">
        <v>5.6245520770019333</v>
      </c>
      <c r="B69" t="s">
        <v>30</v>
      </c>
      <c r="C69">
        <v>0</v>
      </c>
      <c r="D69">
        <v>9</v>
      </c>
    </row>
    <row r="70" spans="1:4" x14ac:dyDescent="0.25">
      <c r="A70">
        <v>4.2683092777893696</v>
      </c>
      <c r="B70" t="s">
        <v>30</v>
      </c>
      <c r="C70">
        <v>1</v>
      </c>
      <c r="D70">
        <v>9</v>
      </c>
    </row>
    <row r="71" spans="1:4" x14ac:dyDescent="0.25">
      <c r="A71">
        <v>8.3914688245593361</v>
      </c>
      <c r="B71" t="s">
        <v>30</v>
      </c>
      <c r="C71">
        <v>0</v>
      </c>
      <c r="D71">
        <v>8</v>
      </c>
    </row>
    <row r="72" spans="1:4" x14ac:dyDescent="0.25">
      <c r="A72">
        <v>4.1821266249965987</v>
      </c>
      <c r="B72" t="s">
        <v>30</v>
      </c>
      <c r="C72">
        <v>0</v>
      </c>
      <c r="D72">
        <v>8</v>
      </c>
    </row>
    <row r="73" spans="1:4" x14ac:dyDescent="0.25">
      <c r="A73">
        <v>5.0999999999999996</v>
      </c>
      <c r="B73" t="s">
        <v>29</v>
      </c>
      <c r="C73">
        <v>0</v>
      </c>
      <c r="D73">
        <v>8</v>
      </c>
    </row>
    <row r="74" spans="1:4" x14ac:dyDescent="0.25">
      <c r="A74">
        <v>9.1999999999999993</v>
      </c>
      <c r="B74" t="s">
        <v>29</v>
      </c>
      <c r="C74">
        <v>1</v>
      </c>
      <c r="D74">
        <v>8</v>
      </c>
    </row>
    <row r="75" spans="1:4" x14ac:dyDescent="0.25">
      <c r="A75">
        <v>6.3</v>
      </c>
      <c r="B75" t="s">
        <v>29</v>
      </c>
      <c r="C75">
        <v>0</v>
      </c>
      <c r="D75">
        <v>9</v>
      </c>
    </row>
    <row r="76" spans="1:4" x14ac:dyDescent="0.25">
      <c r="A76">
        <v>10.4</v>
      </c>
      <c r="B76" t="s">
        <v>29</v>
      </c>
      <c r="C76">
        <v>0</v>
      </c>
      <c r="D76">
        <v>9</v>
      </c>
    </row>
    <row r="77" spans="1:4" x14ac:dyDescent="0.25">
      <c r="A77">
        <v>21.52</v>
      </c>
      <c r="B77" t="s">
        <v>29</v>
      </c>
      <c r="C77">
        <v>0</v>
      </c>
      <c r="D77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Key to terms</vt:lpstr>
      <vt:lpstr>2021 fruit weight</vt:lpstr>
      <vt:lpstr>2021 fruit set</vt:lpstr>
      <vt:lpstr>2020 fruit set</vt:lpstr>
      <vt:lpstr>2020 fruit weight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Daydreamer</dc:creator>
  <cp:lastModifiedBy>Daydreamer</cp:lastModifiedBy>
  <dcterms:created xsi:type="dcterms:W3CDTF">2022-07-08T20:48:46Z</dcterms:created>
  <dcterms:modified xsi:type="dcterms:W3CDTF">2022-07-09T14:32:06Z</dcterms:modified>
</cp:coreProperties>
</file>